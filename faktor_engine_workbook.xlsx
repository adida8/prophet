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" sheetId="1" state="visible" r:id="rId3"/>
    <sheet name="Matches" sheetId="2" state="visible" r:id="rId4"/>
    <sheet name="Blurbs" sheetId="3" state="visible" r:id="rId5"/>
    <sheet name="Open ques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<sst xmlns="http://schemas.openxmlformats.org/spreadsheetml/2006/main" count="439" uniqueCount="202">
  <si>
    <t xml:space="preserve">Engine schema — data contract for Prophet recommendation engine</t>
  </si>
  <si>
    <t xml:space="preserve">Colour key: green = stable input (refresh weekly), yellow = late-binding (only inside T-5 days), peach = model output, blue = market display layer (never an input).</t>
  </si>
  <si>
    <t xml:space="preserve">Field</t>
  </si>
  <si>
    <t xml:space="preserve">Type</t>
  </si>
  <si>
    <t xml:space="preserve">Source</t>
  </si>
  <si>
    <t xml:space="preserve">Binding</t>
  </si>
  <si>
    <t xml:space="preserve">Required</t>
  </si>
  <si>
    <t xml:space="preserve">Layer</t>
  </si>
  <si>
    <t xml:space="preserve">Description</t>
  </si>
  <si>
    <t xml:space="preserve">match_id</t>
  </si>
  <si>
    <t xml:space="preserve">string</t>
  </si>
  <si>
    <t xml:space="preserve">Polymarket Gamma + Kalshi Events</t>
  </si>
  <si>
    <t xml:space="preserve">stable</t>
  </si>
  <si>
    <t xml:space="preserve">Y</t>
  </si>
  <si>
    <t xml:space="preserve">metadata</t>
  </si>
  <si>
    <t xml:space="preserve">Internal join key. Map Polymarket condition_id ↔ Kalshi ticker ↔ FIFA match number.</t>
  </si>
  <si>
    <t xml:space="preserve">kickoff_utc</t>
  </si>
  <si>
    <t xml:space="preserve">datetime</t>
  </si>
  <si>
    <t xml:space="preserve">FIFA scores-fixtures</t>
  </si>
  <si>
    <t xml:space="preserve">ISO 8601 UTC.</t>
  </si>
  <si>
    <t xml:space="preserve">group</t>
  </si>
  <si>
    <t xml:space="preserve">A through L.</t>
  </si>
  <si>
    <t xml:space="preserve">venue</t>
  </si>
  <si>
    <t xml:space="preserve">Stadium name.</t>
  </si>
  <si>
    <t xml:space="preserve">venue_lat</t>
  </si>
  <si>
    <t xml:space="preserve">float</t>
  </si>
  <si>
    <t xml:space="preserve">Static lookup (16 host cities)</t>
  </si>
  <si>
    <t xml:space="preserve">For OpenWeatherMap call.</t>
  </si>
  <si>
    <t xml:space="preserve">venue_lon</t>
  </si>
  <si>
    <t xml:space="preserve">Static lookup</t>
  </si>
  <si>
    <t xml:space="preserve">venue_altitude_m</t>
  </si>
  <si>
    <t xml:space="preserve">int</t>
  </si>
  <si>
    <t xml:space="preserve">Material above ~1500m.</t>
  </si>
  <si>
    <t xml:space="preserve">home_team</t>
  </si>
  <si>
    <t xml:space="preserve">Designated home team (host nation if playing).</t>
  </si>
  <si>
    <t xml:space="preserve">away_team</t>
  </si>
  <si>
    <t xml:space="preserve">—</t>
  </si>
  <si>
    <t xml:space="preserve">fifa_rank_home</t>
  </si>
  <si>
    <t xml:space="preserve">FIFA monthly ranking</t>
  </si>
  <si>
    <t xml:space="preserve">input</t>
  </si>
  <si>
    <t xml:space="preserve">Refresh monthly.</t>
  </si>
  <si>
    <t xml:space="preserve">fifa_rank_away</t>
  </si>
  <si>
    <t xml:space="preserve">elo_home</t>
  </si>
  <si>
    <t xml:space="preserve">World Football Elo (or Wikipedia data module)</t>
  </si>
  <si>
    <t xml:space="preserve">Production: headless render or Wikipedia plain-text mirror.</t>
  </si>
  <si>
    <t xml:space="preserve">elo_away</t>
  </si>
  <si>
    <t xml:space="preserve">Same</t>
  </si>
  <si>
    <t xml:space="preserve">form_last5_home</t>
  </si>
  <si>
    <t xml:space="preserve">API call or scrape (W/D/L last 5 internationals)</t>
  </si>
  <si>
    <t xml:space="preserve">e.g. "WWDLW".</t>
  </si>
  <si>
    <t xml:space="preserve">form_last5_away</t>
  </si>
  <si>
    <t xml:space="preserve">home_advantage_elo</t>
  </si>
  <si>
    <t xml:space="preserve">Static rule (0 if neutral, +75 if host)</t>
  </si>
  <si>
    <t xml:space="preserve">Fixed coefficient until v2.</t>
  </si>
  <si>
    <t xml:space="preserve">altitude_bonus_elo</t>
  </si>
  <si>
    <t xml:space="preserve">Computed from venue_altitude_m and away team home altitude</t>
  </si>
  <si>
    <t xml:space="preserve">0 to +30 typical.</t>
  </si>
  <si>
    <t xml:space="preserve">weather_temp_c</t>
  </si>
  <si>
    <t xml:space="preserve">OpenWeatherMap forecast</t>
  </si>
  <si>
    <t xml:space="preserve">late-binding</t>
  </si>
  <si>
    <t xml:space="preserve">N</t>
  </si>
  <si>
    <t xml:space="preserve">Only ingested at T-5; final at T-2h.</t>
  </si>
  <si>
    <t xml:space="preserve">weather_wind_kph</t>
  </si>
  <si>
    <t xml:space="preserve">Wind &gt; 25 kph compresses goals.</t>
  </si>
  <si>
    <t xml:space="preserve">weather_precip_mm</t>
  </si>
  <si>
    <t xml:space="preserve">injuries_home</t>
  </si>
  <si>
    <t xml:space="preserve">json</t>
  </si>
  <si>
    <t xml:space="preserve">Manual ops (Faktor + Adi daily) or scrape</t>
  </si>
  <si>
    <t xml:space="preserve">Array of {player, role, severity, expected_minutes}.</t>
  </si>
  <si>
    <t xml:space="preserve">injuries_away</t>
  </si>
  <si>
    <t xml:space="preserve">confirmed_xi_home</t>
  </si>
  <si>
    <t xml:space="preserve">Federation site at T-1h</t>
  </si>
  <si>
    <t xml:space="preserve">Final refresh trigger.</t>
  </si>
  <si>
    <t xml:space="preserve">confirmed_xi_away</t>
  </si>
  <si>
    <t xml:space="preserve">p_home</t>
  </si>
  <si>
    <t xml:space="preserve">Engine</t>
  </si>
  <si>
    <t xml:space="preserve">output</t>
  </si>
  <si>
    <t xml:space="preserve">Calibrated probability, 0-1.</t>
  </si>
  <si>
    <t xml:space="preserve">p_draw</t>
  </si>
  <si>
    <t xml:space="preserve">p_away</t>
  </si>
  <si>
    <t xml:space="preserve">expected_goals_home</t>
  </si>
  <si>
    <t xml:space="preserve">Engine (Dixon-Coles)</t>
  </si>
  <si>
    <t xml:space="preserve">For over/under derivation.</t>
  </si>
  <si>
    <t xml:space="preserve">expected_goals_away</t>
  </si>
  <si>
    <t xml:space="preserve">confidence_band</t>
  </si>
  <si>
    <t xml:space="preserve">enum(low,mid,high)</t>
  </si>
  <si>
    <t xml:space="preserve">Wider band when sample thin or news pending.</t>
  </si>
  <si>
    <t xml:space="preserve">drivers</t>
  </si>
  <si>
    <t xml:space="preserve">Ordered list of (feature, direction, magnitude_pp, label).</t>
  </si>
  <si>
    <t xml:space="preserve">blurb</t>
  </si>
  <si>
    <t xml:space="preserve">Claude Haiku via explainer prompt</t>
  </si>
  <si>
    <t xml:space="preserve">60-90 words, Prophet voice, sentence case, no emoji.</t>
  </si>
  <si>
    <t xml:space="preserve">features_snapshot_id</t>
  </si>
  <si>
    <t xml:space="preserve">For replay/audit. Hash of full feature vector at run time.</t>
  </si>
  <si>
    <t xml:space="preserve">run_t_minus_days</t>
  </si>
  <si>
    <t xml:space="preserve">Days before kickoff at run time. Filters which inputs were available.</t>
  </si>
  <si>
    <t xml:space="preserve">market_kalshi_p_home</t>
  </si>
  <si>
    <t xml:space="preserve">Kalshi Events API</t>
  </si>
  <si>
    <t xml:space="preserve">live</t>
  </si>
  <si>
    <t xml:space="preserve">display</t>
  </si>
  <si>
    <t xml:space="preserve">Most recent yes price for home outcome. Devigged.</t>
  </si>
  <si>
    <t xml:space="preserve">market_kalshi_p_draw</t>
  </si>
  <si>
    <t xml:space="preserve">market_kalshi_p_away</t>
  </si>
  <si>
    <t xml:space="preserve">market_polymarket_p_home</t>
  </si>
  <si>
    <t xml:space="preserve">Polymarket Gamma API</t>
  </si>
  <si>
    <t xml:space="preserve">Devigged.</t>
  </si>
  <si>
    <t xml:space="preserve">market_polymarket_p_draw</t>
  </si>
  <si>
    <t xml:space="preserve">market_polymarket_p_away</t>
  </si>
  <si>
    <t xml:space="preserve">market_best_p_home</t>
  </si>
  <si>
    <t xml:space="preserve">max() of available venues</t>
  </si>
  <si>
    <t xml:space="preserve">Best price for the home outcome bettor — used in oddschecker view.</t>
  </si>
  <si>
    <t xml:space="preserve">market_best_venue_home</t>
  </si>
  <si>
    <t xml:space="preserve">Computed</t>
  </si>
  <si>
    <t xml:space="preserve">Which venue.</t>
  </si>
  <si>
    <t xml:space="preserve">First four matches — engine output (T-38 run, late-binding features held back)</t>
  </si>
  <si>
    <t xml:space="preserve">Run date 2026-05-03. Probabilities are illustrative — productionising requires headless Elo render and live Kalshi/Polymarket pulls.</t>
  </si>
  <si>
    <t xml:space="preserve">gap_home_pp</t>
  </si>
  <si>
    <t xml:space="preserve">WC26-001</t>
  </si>
  <si>
    <t xml:space="preserve">2026-06-11 19:00 UTC</t>
  </si>
  <si>
    <t xml:space="preserve">A</t>
  </si>
  <si>
    <t xml:space="preserve">Estadio Azteca (Mexico City)</t>
  </si>
  <si>
    <t xml:space="preserve">Mexico</t>
  </si>
  <si>
    <t xml:space="preserve">South Africa</t>
  </si>
  <si>
    <t xml:space="preserve">WWWLD (est)</t>
  </si>
  <si>
    <t xml:space="preserve">LDLLW (incl AFCON R16 L vs Cameroon, F L vs Panama)</t>
  </si>
  <si>
    <t xml:space="preserve">mid</t>
  </si>
  <si>
    <t xml:space="preserve">WC26-002</t>
  </si>
  <si>
    <t xml:space="preserve">2026-06-12 19:00 UTC</t>
  </si>
  <si>
    <t xml:space="preserve">B</t>
  </si>
  <si>
    <t xml:space="preserve">BMO Field (Toronto)</t>
  </si>
  <si>
    <t xml:space="preserve">Canada</t>
  </si>
  <si>
    <t xml:space="preserve">Bosnia and Herzegovina</t>
  </si>
  <si>
    <t xml:space="preserve">WDLWW (est)</t>
  </si>
  <si>
    <t xml:space="preserve">WLDWL (est, qualifying)</t>
  </si>
  <si>
    <t xml:space="preserve">low</t>
  </si>
  <si>
    <t xml:space="preserve">WC26-003</t>
  </si>
  <si>
    <t xml:space="preserve">2026-06-13 01:00 UTC</t>
  </si>
  <si>
    <t xml:space="preserve">D</t>
  </si>
  <si>
    <t xml:space="preserve">SoFi Stadium (Inglewood)</t>
  </si>
  <si>
    <t xml:space="preserve">United States</t>
  </si>
  <si>
    <t xml:space="preserve">Paraguay</t>
  </si>
  <si>
    <t xml:space="preserve">WDWLD (est)</t>
  </si>
  <si>
    <t xml:space="preserve">DWLWD (est)</t>
  </si>
  <si>
    <t xml:space="preserve">WC26-004</t>
  </si>
  <si>
    <t xml:space="preserve">2026-06-13 22:00 UTC</t>
  </si>
  <si>
    <t xml:space="preserve">E</t>
  </si>
  <si>
    <t xml:space="preserve">TBD (June 13 — neutral)</t>
  </si>
  <si>
    <t xml:space="preserve">Brazil</t>
  </si>
  <si>
    <t xml:space="preserve">Morocco</t>
  </si>
  <si>
    <t xml:space="preserve">WWWDW (est)</t>
  </si>
  <si>
    <t xml:space="preserve">DWWWL (est, AFCON form)</t>
  </si>
  <si>
    <t xml:space="preserve">Editorial output per match — drivers, blurb, voice check</t>
  </si>
  <si>
    <t xml:space="preserve">matchup</t>
  </si>
  <si>
    <t xml:space="preserve">top drivers (T-38)</t>
  </si>
  <si>
    <t xml:space="preserve">held back until T-5</t>
  </si>
  <si>
    <t xml:space="preserve">blurb (Prophet voice)</t>
  </si>
  <si>
    <t xml:space="preserve">Mexico v South Africa</t>
  </si>
  <si>
    <t xml:space="preserve">1. Class gap (45 FIFA places, ~225 Elo)
2. Home + altitude at Azteca (~+90 Elo combined)
3. Form delta — Mexico 3W in last 5; RSA lost friendly to Panama
4. Opening-match host pressure — typically -3 pp on host</t>
  </si>
  <si>
    <t xml:space="preserve">• Mexico injuries: GK Malagón (Achilles), Romo, Chávez (ACL), Huerta, Huescas; Giménez doubt
• Mexico City forecast (Jun 11)
• Confirmed XI at T-1h</t>
  </si>
  <si>
    <t xml:space="preserve">Mexico and South Africa open the World Cup in Mexico City on 11 June, sixteen years after they drew the same opening fixture in Johannesburg. The class gap is wide — Mexico sits 45 places higher in the FIFA ranking, and Azteca's altitude is a real edge. On fundamentals alone our model lands at 66% Mexico, 22% draw, 12% South Africa. The market is closer to 62% Mexico — that gap is the discount traders are already taking for Mexico's injuries. We'll know more closer to kickoff.</t>
  </si>
  <si>
    <t xml:space="preserve">Canada v Bosnia and Herzegovina</t>
  </si>
  <si>
    <t xml:space="preserve">1. Modest class gap (~40 FIFA places, ~130 Elo)
2. Canada home advantage at BMO Field, Toronto
3. No altitude factor (sea level)
4. Bosnia historically a tough out — 2014 WC, recent EURO playoffs</t>
  </si>
  <si>
    <t xml:space="preserve">• Bosnia squad availability at T-3
• Toronto weather (June can swing humid)
• Confirmed XI</t>
  </si>
  <si>
    <t xml:space="preserve">Canada open their home World Cup against a Bosnia side that has knocked off bigger names than this in recent qualifying. The class gap on paper is real but not crushing — Canada are 30th in the FIFA ranking, Bosnia 70th. Toronto isn't altitude or hostile-crowd home advantage on the same scale as Azteca, so the home edge sits at the lower end of the band. We land at 50% Canada, 26% draw, 24% Bosnia. A nervy opener for the host.</t>
  </si>
  <si>
    <t xml:space="preserve">United States v Paraguay</t>
  </si>
  <si>
    <t xml:space="preserve">1. Class gap (37 FIFA places, ~200 Elo)
2. USA home advantage at SoFi, Inglewood
3. Paraguay returning to the World Cup after long absence — squad cohesion an open question
4. USA form has been mixed under recent setup</t>
  </si>
  <si>
    <t xml:space="preserve">• USA injury picture (especially midfield)
• Inglewood weather (June heat)
• Confirmed XI</t>
  </si>
  <si>
    <t xml:space="preserve">The United States open their home tournament at SoFi against a Paraguay side returning to a World Cup after years away. The fundamentals favour the hosts — 37 FIFA places of separation and the home crowd at Inglewood — but USA's form going into the tournament has been uneven. We land at 58% USA, 23% draw, 19% Paraguay. The wider story will be how Paraguay handles a stage their squad has not seen at this level.</t>
  </si>
  <si>
    <t xml:space="preserve">Brazil v Morocco</t>
  </si>
  <si>
    <t xml:space="preserve">1. Brazil's baseline (top-5 Elo) is the heaviest factor
2. Neutral venue — no home advantage to either side
3. Morocco stronger than their FIFA #14 implies — 2022 semifinalists, structural defensive system
4. June form / friendly results to be added</t>
  </si>
  <si>
    <t xml:space="preserve">• Brazil squad confirmation (Vinícius/Rodrygo fitness)
• Morocco squad — Hakimi, Ziyech availability
• Venue weather</t>
  </si>
  <si>
    <t xml:space="preserve">Brazil and Morocco meet at a neutral US venue on 13 June. Brazil are favourites on Elo but Morocco is the kind of opponent that flatters its FIFA ranking — their 2022 run to the semifinals was no accident, built on a defensive shape that has frustrated stronger sides. We land at 55% Brazil, 25% draw, 20% Morocco. The draw probability is doing real work here — both sides have reasons to be cautious early in a tournament group.</t>
  </si>
  <si>
    <t xml:space="preserve">Decisions Faktor needs from Adi before the engine ships</t>
  </si>
  <si>
    <t xml:space="preserve">#</t>
  </si>
  <si>
    <t xml:space="preserve">Question</t>
  </si>
  <si>
    <t xml:space="preserve">Why it matters</t>
  </si>
  <si>
    <t xml:space="preserve">Owner</t>
  </si>
  <si>
    <t xml:space="preserve">Blocker?</t>
  </si>
  <si>
    <t xml:space="preserve">Elo source: scrape eloratings.net via headless Playwright, or switch to Wikipedia's Module:SportsRankings/data/World_Football_Elo_Ratings (plain text, version-controlled)?</t>
  </si>
  <si>
    <t xml:space="preserve">JS-rendered eloratings adds infra. Wikipedia mirror is updated within hours of matches and trivial to parse. Probably switch.</t>
  </si>
  <si>
    <t xml:space="preserve">Faktor + Adi</t>
  </si>
  <si>
    <t xml:space="preserve">Polymarket fixture mapping: hand-build the slug map for ~104 WC matches up front, or call Gamma /markets?question= search at runtime?</t>
  </si>
  <si>
    <t xml:space="preserve">Slug for Mexico-SA returned empty in our test. Need a deterministic join key from match_id to Polymarket condition_id and Kalshi ticker.</t>
  </si>
  <si>
    <t xml:space="preserve">Faktor</t>
  </si>
  <si>
    <t xml:space="preserve">Injury / availability data: manual ops 5 min/day (Adi + Faktor), scrape BBC/ESPN/federation sites, or pay SportMonks for the tournament window only?</t>
  </si>
  <si>
    <t xml:space="preserve">Late-binding feature, but the most impactful one. Free options are fragile; paid is EUR 69-129/mo for the WC plan.</t>
  </si>
  <si>
    <t xml:space="preserve">Adi</t>
  </si>
  <si>
    <t xml:space="preserve">Confidence band thresholds: what triggers low/mid/high?</t>
  </si>
  <si>
    <t xml:space="preserve">Drives UI hedge. Suggested rule: low if any input missing or sample &lt;10 internationals; high only when confirmed XI in and weather final.</t>
  </si>
  <si>
    <t xml:space="preserve">Comparison-view design when model and market agree.</t>
  </si>
  <si>
    <t xml:space="preserve">Mexico-SA test shows the gap can be small. UI needs a graceful "they agree, here's why" component, not just a delta number.</t>
  </si>
  <si>
    <t xml:space="preserve">Design system</t>
  </si>
  <si>
    <t xml:space="preserve">Disclaimer placement: per-match-card footer, page footer, or both?</t>
  </si>
  <si>
    <t xml:space="preserve">Legal/voice. The design system's anti-promo rule says we never frame as advice — disclaimer reinforces.</t>
  </si>
  <si>
    <t xml:space="preserve">Sportsbook anchor as a hidden sanity check: pull Pinnacle implied probability and silently flag matches where our model deviates &gt;10pp from sharp consensus?</t>
  </si>
  <si>
    <t xml:space="preserve">Engineer-only debug feature. Catches model bugs before a wrong number ships to the surface. Doesn't enter the user UI.</t>
  </si>
  <si>
    <t xml:space="preserve">Run cadence: model rebuilds nightly until T-5, then 3x/day until T-24h, then hourly until kickoff?</t>
  </si>
  <si>
    <t xml:space="preserve">Need to confirm before infra sizing.</t>
  </si>
  <si>
    <t xml:space="preserve">Calibration evaluation visible to whom?</t>
  </si>
  <si>
    <t xml:space="preserve">Brier score and reliability diagrams should be visible internally throughout the tournament. Not to users in v1.</t>
  </si>
  <si>
    <t xml:space="preserve">StatsBomb licence — we're using their open data (CC-BY-NC) for model training. Acceptable for the current Prophet positioning, or do we need a commercial licence before monetising?</t>
  </si>
  <si>
    <t xml:space="preserve">Beta target is May 9 — pre-revenue, so non-commercial is fine. Becomes a question once Prophet earns revenue.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</si>
</sst>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\+0.0&quot; pp&quot;;\-0.0&quot; pp&quot;;&quot;0 pp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6" hidden="false" customHeight="true" outlineLevel="0" collapsed="false">
      <c r="A5" s="4" t="s">
        <v>9</v>
      </c>
      <c r="B5" s="5" t="s">
        <v>10</v>
      </c>
      <c r="C5" s="5" t="s">
        <v>11</v>
      </c>
      <c r="D5" s="6" t="s">
        <v>12</v>
      </c>
      <c r="E5" s="7" t="s">
        <v>13</v>
      </c>
      <c r="F5" s="6" t="s">
        <v>14</v>
      </c>
      <c r="G5" s="5" t="s">
        <v>15</v>
      </c>
    </row>
    <row r="6" customFormat="false" ht="36" hidden="false" customHeight="true" outlineLevel="0" collapsed="false">
      <c r="A6" s="4" t="s">
        <v>16</v>
      </c>
      <c r="B6" s="5" t="s">
        <v>17</v>
      </c>
      <c r="C6" s="5" t="s">
        <v>18</v>
      </c>
      <c r="D6" s="6" t="s">
        <v>12</v>
      </c>
      <c r="E6" s="7" t="s">
        <v>13</v>
      </c>
      <c r="F6" s="6" t="s">
        <v>14</v>
      </c>
      <c r="G6" s="5" t="s">
        <v>19</v>
      </c>
    </row>
    <row r="7" customFormat="false" ht="36" hidden="false" customHeight="true" outlineLevel="0" collapsed="false">
      <c r="A7" s="4" t="s">
        <v>20</v>
      </c>
      <c r="B7" s="5" t="s">
        <v>10</v>
      </c>
      <c r="C7" s="5" t="s">
        <v>18</v>
      </c>
      <c r="D7" s="6" t="s">
        <v>12</v>
      </c>
      <c r="E7" s="7" t="s">
        <v>13</v>
      </c>
      <c r="F7" s="6" t="s">
        <v>14</v>
      </c>
      <c r="G7" s="5" t="s">
        <v>21</v>
      </c>
    </row>
    <row r="8" customFormat="false" ht="36" hidden="false" customHeight="true" outlineLevel="0" collapsed="false">
      <c r="A8" s="4" t="s">
        <v>22</v>
      </c>
      <c r="B8" s="5" t="s">
        <v>10</v>
      </c>
      <c r="C8" s="5" t="s">
        <v>18</v>
      </c>
      <c r="D8" s="6" t="s">
        <v>12</v>
      </c>
      <c r="E8" s="7" t="s">
        <v>13</v>
      </c>
      <c r="F8" s="6" t="s">
        <v>14</v>
      </c>
      <c r="G8" s="5" t="s">
        <v>23</v>
      </c>
    </row>
    <row r="9" customFormat="false" ht="36" hidden="false" customHeight="true" outlineLevel="0" collapsed="false">
      <c r="A9" s="4" t="s">
        <v>24</v>
      </c>
      <c r="B9" s="5" t="s">
        <v>25</v>
      </c>
      <c r="C9" s="5" t="s">
        <v>26</v>
      </c>
      <c r="D9" s="6" t="s">
        <v>12</v>
      </c>
      <c r="E9" s="7" t="s">
        <v>13</v>
      </c>
      <c r="F9" s="6" t="s">
        <v>14</v>
      </c>
      <c r="G9" s="5" t="s">
        <v>27</v>
      </c>
    </row>
    <row r="10" customFormat="false" ht="36" hidden="false" customHeight="true" outlineLevel="0" collapsed="false">
      <c r="A10" s="4" t="s">
        <v>28</v>
      </c>
      <c r="B10" s="5" t="s">
        <v>25</v>
      </c>
      <c r="C10" s="5" t="s">
        <v>29</v>
      </c>
      <c r="D10" s="6" t="s">
        <v>12</v>
      </c>
      <c r="E10" s="7" t="s">
        <v>13</v>
      </c>
      <c r="F10" s="6" t="s">
        <v>14</v>
      </c>
      <c r="G10" s="5" t="s">
        <v>27</v>
      </c>
    </row>
    <row r="11" customFormat="false" ht="36" hidden="false" customHeight="true" outlineLevel="0" collapsed="false">
      <c r="A11" s="4" t="s">
        <v>30</v>
      </c>
      <c r="B11" s="5" t="s">
        <v>31</v>
      </c>
      <c r="C11" s="5" t="s">
        <v>29</v>
      </c>
      <c r="D11" s="6" t="s">
        <v>12</v>
      </c>
      <c r="E11" s="7" t="s">
        <v>13</v>
      </c>
      <c r="F11" s="6" t="s">
        <v>14</v>
      </c>
      <c r="G11" s="5" t="s">
        <v>32</v>
      </c>
    </row>
    <row r="12" customFormat="false" ht="36" hidden="false" customHeight="true" outlineLevel="0" collapsed="false">
      <c r="A12" s="4" t="s">
        <v>33</v>
      </c>
      <c r="B12" s="5" t="s">
        <v>10</v>
      </c>
      <c r="C12" s="5" t="s">
        <v>18</v>
      </c>
      <c r="D12" s="6" t="s">
        <v>12</v>
      </c>
      <c r="E12" s="7" t="s">
        <v>13</v>
      </c>
      <c r="F12" s="6" t="s">
        <v>14</v>
      </c>
      <c r="G12" s="5" t="s">
        <v>34</v>
      </c>
    </row>
    <row r="13" customFormat="false" ht="36" hidden="false" customHeight="true" outlineLevel="0" collapsed="false">
      <c r="A13" s="4" t="s">
        <v>35</v>
      </c>
      <c r="B13" s="5" t="s">
        <v>10</v>
      </c>
      <c r="C13" s="5" t="s">
        <v>18</v>
      </c>
      <c r="D13" s="6" t="s">
        <v>12</v>
      </c>
      <c r="E13" s="7" t="s">
        <v>13</v>
      </c>
      <c r="F13" s="6" t="s">
        <v>14</v>
      </c>
      <c r="G13" s="5" t="s">
        <v>36</v>
      </c>
    </row>
    <row r="14" customFormat="false" ht="36" hidden="false" customHeight="true" outlineLevel="0" collapsed="false">
      <c r="A14" s="4" t="s">
        <v>37</v>
      </c>
      <c r="B14" s="5" t="s">
        <v>31</v>
      </c>
      <c r="C14" s="5" t="s">
        <v>38</v>
      </c>
      <c r="D14" s="6" t="s">
        <v>12</v>
      </c>
      <c r="E14" s="7" t="s">
        <v>13</v>
      </c>
      <c r="F14" s="6" t="s">
        <v>39</v>
      </c>
      <c r="G14" s="5" t="s">
        <v>40</v>
      </c>
    </row>
    <row r="15" customFormat="false" ht="36" hidden="false" customHeight="true" outlineLevel="0" collapsed="false">
      <c r="A15" s="4" t="s">
        <v>41</v>
      </c>
      <c r="B15" s="5" t="s">
        <v>31</v>
      </c>
      <c r="C15" s="5" t="s">
        <v>38</v>
      </c>
      <c r="D15" s="6" t="s">
        <v>12</v>
      </c>
      <c r="E15" s="7" t="s">
        <v>13</v>
      </c>
      <c r="F15" s="6" t="s">
        <v>39</v>
      </c>
      <c r="G15" s="5" t="s">
        <v>36</v>
      </c>
    </row>
    <row r="16" customFormat="false" ht="36" hidden="false" customHeight="true" outlineLevel="0" collapsed="false">
      <c r="A16" s="4" t="s">
        <v>42</v>
      </c>
      <c r="B16" s="5" t="s">
        <v>31</v>
      </c>
      <c r="C16" s="5" t="s">
        <v>43</v>
      </c>
      <c r="D16" s="6" t="s">
        <v>12</v>
      </c>
      <c r="E16" s="7" t="s">
        <v>13</v>
      </c>
      <c r="F16" s="6" t="s">
        <v>39</v>
      </c>
      <c r="G16" s="5" t="s">
        <v>44</v>
      </c>
    </row>
    <row r="17" customFormat="false" ht="36" hidden="false" customHeight="true" outlineLevel="0" collapsed="false">
      <c r="A17" s="4" t="s">
        <v>45</v>
      </c>
      <c r="B17" s="5" t="s">
        <v>31</v>
      </c>
      <c r="C17" s="5" t="s">
        <v>46</v>
      </c>
      <c r="D17" s="6" t="s">
        <v>12</v>
      </c>
      <c r="E17" s="7" t="s">
        <v>13</v>
      </c>
      <c r="F17" s="6" t="s">
        <v>39</v>
      </c>
      <c r="G17" s="5" t="s">
        <v>36</v>
      </c>
    </row>
    <row r="18" customFormat="false" ht="36" hidden="false" customHeight="true" outlineLevel="0" collapsed="false">
      <c r="A18" s="4" t="s">
        <v>47</v>
      </c>
      <c r="B18" s="5" t="s">
        <v>10</v>
      </c>
      <c r="C18" s="5" t="s">
        <v>48</v>
      </c>
      <c r="D18" s="6" t="s">
        <v>12</v>
      </c>
      <c r="E18" s="7" t="s">
        <v>13</v>
      </c>
      <c r="F18" s="6" t="s">
        <v>39</v>
      </c>
      <c r="G18" s="5" t="s">
        <v>49</v>
      </c>
    </row>
    <row r="19" customFormat="false" ht="36" hidden="false" customHeight="true" outlineLevel="0" collapsed="false">
      <c r="A19" s="4" t="s">
        <v>50</v>
      </c>
      <c r="B19" s="5" t="s">
        <v>10</v>
      </c>
      <c r="C19" s="5" t="s">
        <v>46</v>
      </c>
      <c r="D19" s="6" t="s">
        <v>12</v>
      </c>
      <c r="E19" s="7" t="s">
        <v>13</v>
      </c>
      <c r="F19" s="6" t="s">
        <v>39</v>
      </c>
      <c r="G19" s="5" t="s">
        <v>36</v>
      </c>
    </row>
    <row r="20" customFormat="false" ht="36" hidden="false" customHeight="true" outlineLevel="0" collapsed="false">
      <c r="A20" s="4" t="s">
        <v>51</v>
      </c>
      <c r="B20" s="5" t="s">
        <v>31</v>
      </c>
      <c r="C20" s="5" t="s">
        <v>52</v>
      </c>
      <c r="D20" s="6" t="s">
        <v>12</v>
      </c>
      <c r="E20" s="7" t="s">
        <v>13</v>
      </c>
      <c r="F20" s="6" t="s">
        <v>39</v>
      </c>
      <c r="G20" s="5" t="s">
        <v>53</v>
      </c>
    </row>
    <row r="21" customFormat="false" ht="36" hidden="false" customHeight="true" outlineLevel="0" collapsed="false">
      <c r="A21" s="4" t="s">
        <v>54</v>
      </c>
      <c r="B21" s="5" t="s">
        <v>31</v>
      </c>
      <c r="C21" s="5" t="s">
        <v>55</v>
      </c>
      <c r="D21" s="6" t="s">
        <v>12</v>
      </c>
      <c r="E21" s="7" t="s">
        <v>13</v>
      </c>
      <c r="F21" s="6" t="s">
        <v>39</v>
      </c>
      <c r="G21" s="5" t="s">
        <v>56</v>
      </c>
    </row>
    <row r="22" customFormat="false" ht="36" hidden="false" customHeight="true" outlineLevel="0" collapsed="false">
      <c r="A22" s="8" t="s">
        <v>57</v>
      </c>
      <c r="B22" s="5" t="s">
        <v>25</v>
      </c>
      <c r="C22" s="5" t="s">
        <v>58</v>
      </c>
      <c r="D22" s="9" t="s">
        <v>59</v>
      </c>
      <c r="E22" s="7" t="s">
        <v>60</v>
      </c>
      <c r="F22" s="9" t="s">
        <v>39</v>
      </c>
      <c r="G22" s="5" t="s">
        <v>61</v>
      </c>
    </row>
    <row r="23" customFormat="false" ht="36" hidden="false" customHeight="true" outlineLevel="0" collapsed="false">
      <c r="A23" s="8" t="s">
        <v>62</v>
      </c>
      <c r="B23" s="5" t="s">
        <v>25</v>
      </c>
      <c r="C23" s="5" t="s">
        <v>58</v>
      </c>
      <c r="D23" s="9" t="s">
        <v>59</v>
      </c>
      <c r="E23" s="7" t="s">
        <v>60</v>
      </c>
      <c r="F23" s="9" t="s">
        <v>39</v>
      </c>
      <c r="G23" s="5" t="s">
        <v>63</v>
      </c>
    </row>
    <row r="24" customFormat="false" ht="36" hidden="false" customHeight="true" outlineLevel="0" collapsed="false">
      <c r="A24" s="8" t="s">
        <v>64</v>
      </c>
      <c r="B24" s="5" t="s">
        <v>25</v>
      </c>
      <c r="C24" s="5" t="s">
        <v>58</v>
      </c>
      <c r="D24" s="9" t="s">
        <v>59</v>
      </c>
      <c r="E24" s="7" t="s">
        <v>60</v>
      </c>
      <c r="F24" s="9" t="s">
        <v>39</v>
      </c>
      <c r="G24" s="5" t="s">
        <v>36</v>
      </c>
    </row>
    <row r="25" customFormat="false" ht="36" hidden="false" customHeight="true" outlineLevel="0" collapsed="false">
      <c r="A25" s="8" t="s">
        <v>65</v>
      </c>
      <c r="B25" s="5" t="s">
        <v>66</v>
      </c>
      <c r="C25" s="5" t="s">
        <v>67</v>
      </c>
      <c r="D25" s="9" t="s">
        <v>59</v>
      </c>
      <c r="E25" s="7" t="s">
        <v>60</v>
      </c>
      <c r="F25" s="9" t="s">
        <v>39</v>
      </c>
      <c r="G25" s="5" t="s">
        <v>68</v>
      </c>
    </row>
    <row r="26" customFormat="false" ht="36" hidden="false" customHeight="true" outlineLevel="0" collapsed="false">
      <c r="A26" s="8" t="s">
        <v>69</v>
      </c>
      <c r="B26" s="5" t="s">
        <v>66</v>
      </c>
      <c r="C26" s="5" t="s">
        <v>46</v>
      </c>
      <c r="D26" s="9" t="s">
        <v>59</v>
      </c>
      <c r="E26" s="7" t="s">
        <v>60</v>
      </c>
      <c r="F26" s="9" t="s">
        <v>39</v>
      </c>
      <c r="G26" s="5" t="s">
        <v>36</v>
      </c>
    </row>
    <row r="27" customFormat="false" ht="36" hidden="false" customHeight="true" outlineLevel="0" collapsed="false">
      <c r="A27" s="8" t="s">
        <v>70</v>
      </c>
      <c r="B27" s="5" t="s">
        <v>66</v>
      </c>
      <c r="C27" s="5" t="s">
        <v>71</v>
      </c>
      <c r="D27" s="9" t="s">
        <v>59</v>
      </c>
      <c r="E27" s="7" t="s">
        <v>60</v>
      </c>
      <c r="F27" s="9" t="s">
        <v>39</v>
      </c>
      <c r="G27" s="5" t="s">
        <v>72</v>
      </c>
    </row>
    <row r="28" customFormat="false" ht="36" hidden="false" customHeight="true" outlineLevel="0" collapsed="false">
      <c r="A28" s="8" t="s">
        <v>73</v>
      </c>
      <c r="B28" s="5" t="s">
        <v>66</v>
      </c>
      <c r="C28" s="5" t="s">
        <v>71</v>
      </c>
      <c r="D28" s="9" t="s">
        <v>59</v>
      </c>
      <c r="E28" s="7" t="s">
        <v>60</v>
      </c>
      <c r="F28" s="9" t="s">
        <v>39</v>
      </c>
      <c r="G28" s="5" t="s">
        <v>36</v>
      </c>
    </row>
    <row r="29" customFormat="false" ht="36" hidden="false" customHeight="true" outlineLevel="0" collapsed="false">
      <c r="A29" s="10" t="s">
        <v>74</v>
      </c>
      <c r="B29" s="5" t="s">
        <v>25</v>
      </c>
      <c r="C29" s="5" t="s">
        <v>75</v>
      </c>
      <c r="D29" s="11" t="s">
        <v>76</v>
      </c>
      <c r="E29" s="7" t="s">
        <v>13</v>
      </c>
      <c r="F29" s="11" t="s">
        <v>76</v>
      </c>
      <c r="G29" s="5" t="s">
        <v>77</v>
      </c>
    </row>
    <row r="30" customFormat="false" ht="36" hidden="false" customHeight="true" outlineLevel="0" collapsed="false">
      <c r="A30" s="10" t="s">
        <v>78</v>
      </c>
      <c r="B30" s="5" t="s">
        <v>25</v>
      </c>
      <c r="C30" s="5" t="s">
        <v>75</v>
      </c>
      <c r="D30" s="11" t="s">
        <v>76</v>
      </c>
      <c r="E30" s="7" t="s">
        <v>13</v>
      </c>
      <c r="F30" s="11" t="s">
        <v>76</v>
      </c>
      <c r="G30" s="5" t="s">
        <v>36</v>
      </c>
    </row>
    <row r="31" customFormat="false" ht="36" hidden="false" customHeight="true" outlineLevel="0" collapsed="false">
      <c r="A31" s="10" t="s">
        <v>79</v>
      </c>
      <c r="B31" s="5" t="s">
        <v>25</v>
      </c>
      <c r="C31" s="5" t="s">
        <v>75</v>
      </c>
      <c r="D31" s="11" t="s">
        <v>76</v>
      </c>
      <c r="E31" s="7" t="s">
        <v>13</v>
      </c>
      <c r="F31" s="11" t="s">
        <v>76</v>
      </c>
      <c r="G31" s="5" t="s">
        <v>36</v>
      </c>
    </row>
    <row r="32" customFormat="false" ht="36" hidden="false" customHeight="true" outlineLevel="0" collapsed="false">
      <c r="A32" s="10" t="s">
        <v>80</v>
      </c>
      <c r="B32" s="5" t="s">
        <v>25</v>
      </c>
      <c r="C32" s="5" t="s">
        <v>81</v>
      </c>
      <c r="D32" s="11" t="s">
        <v>76</v>
      </c>
      <c r="E32" s="7" t="s">
        <v>13</v>
      </c>
      <c r="F32" s="11" t="s">
        <v>76</v>
      </c>
      <c r="G32" s="5" t="s">
        <v>82</v>
      </c>
    </row>
    <row r="33" customFormat="false" ht="36" hidden="false" customHeight="true" outlineLevel="0" collapsed="false">
      <c r="A33" s="10" t="s">
        <v>83</v>
      </c>
      <c r="B33" s="5" t="s">
        <v>25</v>
      </c>
      <c r="C33" s="5" t="s">
        <v>75</v>
      </c>
      <c r="D33" s="11" t="s">
        <v>76</v>
      </c>
      <c r="E33" s="7" t="s">
        <v>13</v>
      </c>
      <c r="F33" s="11" t="s">
        <v>76</v>
      </c>
      <c r="G33" s="5" t="s">
        <v>36</v>
      </c>
    </row>
    <row r="34" customFormat="false" ht="36" hidden="false" customHeight="true" outlineLevel="0" collapsed="false">
      <c r="A34" s="10" t="s">
        <v>84</v>
      </c>
      <c r="B34" s="5" t="s">
        <v>85</v>
      </c>
      <c r="C34" s="5" t="s">
        <v>75</v>
      </c>
      <c r="D34" s="11" t="s">
        <v>76</v>
      </c>
      <c r="E34" s="7" t="s">
        <v>13</v>
      </c>
      <c r="F34" s="11" t="s">
        <v>76</v>
      </c>
      <c r="G34" s="5" t="s">
        <v>86</v>
      </c>
    </row>
    <row r="35" customFormat="false" ht="36" hidden="false" customHeight="true" outlineLevel="0" collapsed="false">
      <c r="A35" s="10" t="s">
        <v>87</v>
      </c>
      <c r="B35" s="5" t="s">
        <v>66</v>
      </c>
      <c r="C35" s="5" t="s">
        <v>75</v>
      </c>
      <c r="D35" s="11" t="s">
        <v>76</v>
      </c>
      <c r="E35" s="7" t="s">
        <v>13</v>
      </c>
      <c r="F35" s="11" t="s">
        <v>76</v>
      </c>
      <c r="G35" s="5" t="s">
        <v>88</v>
      </c>
    </row>
    <row r="36" customFormat="false" ht="36" hidden="false" customHeight="true" outlineLevel="0" collapsed="false">
      <c r="A36" s="10" t="s">
        <v>89</v>
      </c>
      <c r="B36" s="5" t="s">
        <v>10</v>
      </c>
      <c r="C36" s="5" t="s">
        <v>90</v>
      </c>
      <c r="D36" s="11" t="s">
        <v>76</v>
      </c>
      <c r="E36" s="7" t="s">
        <v>13</v>
      </c>
      <c r="F36" s="11" t="s">
        <v>76</v>
      </c>
      <c r="G36" s="5" t="s">
        <v>91</v>
      </c>
    </row>
    <row r="37" customFormat="false" ht="36" hidden="false" customHeight="true" outlineLevel="0" collapsed="false">
      <c r="A37" s="10" t="s">
        <v>92</v>
      </c>
      <c r="B37" s="5" t="s">
        <v>10</v>
      </c>
      <c r="C37" s="5" t="s">
        <v>75</v>
      </c>
      <c r="D37" s="11" t="s">
        <v>76</v>
      </c>
      <c r="E37" s="7" t="s">
        <v>13</v>
      </c>
      <c r="F37" s="11" t="s">
        <v>76</v>
      </c>
      <c r="G37" s="5" t="s">
        <v>93</v>
      </c>
    </row>
    <row r="38" customFormat="false" ht="36" hidden="false" customHeight="true" outlineLevel="0" collapsed="false">
      <c r="A38" s="10" t="s">
        <v>94</v>
      </c>
      <c r="B38" s="5" t="s">
        <v>31</v>
      </c>
      <c r="C38" s="5" t="s">
        <v>75</v>
      </c>
      <c r="D38" s="11" t="s">
        <v>76</v>
      </c>
      <c r="E38" s="7" t="s">
        <v>13</v>
      </c>
      <c r="F38" s="11" t="s">
        <v>76</v>
      </c>
      <c r="G38" s="5" t="s">
        <v>95</v>
      </c>
    </row>
    <row r="39" customFormat="false" ht="36" hidden="false" customHeight="true" outlineLevel="0" collapsed="false">
      <c r="A39" s="12" t="s">
        <v>96</v>
      </c>
      <c r="B39" s="5" t="s">
        <v>25</v>
      </c>
      <c r="C39" s="5" t="s">
        <v>97</v>
      </c>
      <c r="D39" s="13" t="s">
        <v>98</v>
      </c>
      <c r="E39" s="7" t="s">
        <v>13</v>
      </c>
      <c r="F39" s="13" t="s">
        <v>99</v>
      </c>
      <c r="G39" s="5" t="s">
        <v>100</v>
      </c>
    </row>
    <row r="40" customFormat="false" ht="36" hidden="false" customHeight="true" outlineLevel="0" collapsed="false">
      <c r="A40" s="12" t="s">
        <v>101</v>
      </c>
      <c r="B40" s="5" t="s">
        <v>25</v>
      </c>
      <c r="C40" s="5" t="s">
        <v>97</v>
      </c>
      <c r="D40" s="13" t="s">
        <v>98</v>
      </c>
      <c r="E40" s="7" t="s">
        <v>13</v>
      </c>
      <c r="F40" s="13" t="s">
        <v>99</v>
      </c>
      <c r="G40" s="5" t="s">
        <v>36</v>
      </c>
    </row>
    <row r="41" customFormat="false" ht="36" hidden="false" customHeight="true" outlineLevel="0" collapsed="false">
      <c r="A41" s="12" t="s">
        <v>102</v>
      </c>
      <c r="B41" s="5" t="s">
        <v>25</v>
      </c>
      <c r="C41" s="5" t="s">
        <v>97</v>
      </c>
      <c r="D41" s="13" t="s">
        <v>98</v>
      </c>
      <c r="E41" s="7" t="s">
        <v>13</v>
      </c>
      <c r="F41" s="13" t="s">
        <v>99</v>
      </c>
      <c r="G41" s="5" t="s">
        <v>36</v>
      </c>
    </row>
    <row r="42" customFormat="false" ht="36" hidden="false" customHeight="true" outlineLevel="0" collapsed="false">
      <c r="A42" s="12" t="s">
        <v>103</v>
      </c>
      <c r="B42" s="5" t="s">
        <v>25</v>
      </c>
      <c r="C42" s="5" t="s">
        <v>104</v>
      </c>
      <c r="D42" s="13" t="s">
        <v>98</v>
      </c>
      <c r="E42" s="7" t="s">
        <v>13</v>
      </c>
      <c r="F42" s="13" t="s">
        <v>99</v>
      </c>
      <c r="G42" s="5" t="s">
        <v>105</v>
      </c>
    </row>
    <row r="43" customFormat="false" ht="36" hidden="false" customHeight="true" outlineLevel="0" collapsed="false">
      <c r="A43" s="12" t="s">
        <v>106</v>
      </c>
      <c r="B43" s="5" t="s">
        <v>25</v>
      </c>
      <c r="C43" s="5" t="s">
        <v>104</v>
      </c>
      <c r="D43" s="13" t="s">
        <v>98</v>
      </c>
      <c r="E43" s="7" t="s">
        <v>13</v>
      </c>
      <c r="F43" s="13" t="s">
        <v>99</v>
      </c>
      <c r="G43" s="5" t="s">
        <v>36</v>
      </c>
    </row>
    <row r="44" customFormat="false" ht="36" hidden="false" customHeight="true" outlineLevel="0" collapsed="false">
      <c r="A44" s="12" t="s">
        <v>107</v>
      </c>
      <c r="B44" s="5" t="s">
        <v>25</v>
      </c>
      <c r="C44" s="5" t="s">
        <v>104</v>
      </c>
      <c r="D44" s="13" t="s">
        <v>98</v>
      </c>
      <c r="E44" s="7" t="s">
        <v>13</v>
      </c>
      <c r="F44" s="13" t="s">
        <v>99</v>
      </c>
      <c r="G44" s="5" t="s">
        <v>36</v>
      </c>
    </row>
    <row r="45" customFormat="false" ht="36" hidden="false" customHeight="true" outlineLevel="0" collapsed="false">
      <c r="A45" s="12" t="s">
        <v>108</v>
      </c>
      <c r="B45" s="5" t="s">
        <v>25</v>
      </c>
      <c r="C45" s="5" t="s">
        <v>109</v>
      </c>
      <c r="D45" s="13" t="s">
        <v>98</v>
      </c>
      <c r="E45" s="7" t="s">
        <v>13</v>
      </c>
      <c r="F45" s="13" t="s">
        <v>99</v>
      </c>
      <c r="G45" s="5" t="s">
        <v>110</v>
      </c>
    </row>
    <row r="46" customFormat="false" ht="36" hidden="false" customHeight="true" outlineLevel="0" collapsed="false">
      <c r="A46" s="12" t="s">
        <v>111</v>
      </c>
      <c r="B46" s="5" t="s">
        <v>10</v>
      </c>
      <c r="C46" s="5" t="s">
        <v>112</v>
      </c>
      <c r="D46" s="13" t="s">
        <v>98</v>
      </c>
      <c r="E46" s="7" t="s">
        <v>13</v>
      </c>
      <c r="F46" s="13" t="s">
        <v>99</v>
      </c>
      <c r="G46" s="5" t="s">
        <v>113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13" min="8" style="0" width="10"/>
    <col collapsed="false" customWidth="true" hidden="false" outlineLevel="0" max="15" min="14" style="0" width="22"/>
    <col collapsed="false" customWidth="true" hidden="false" outlineLevel="0" max="20" min="16" style="0" width="10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6" min="23" style="0" width="14"/>
  </cols>
  <sheetData>
    <row r="1" customFormat="false" ht="17.35" hidden="false" customHeight="fals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6" hidden="false" customHeight="true" outlineLevel="0" collapsed="false">
      <c r="A4" s="3" t="s">
        <v>9</v>
      </c>
      <c r="B4" s="3" t="s">
        <v>16</v>
      </c>
      <c r="C4" s="3" t="s">
        <v>20</v>
      </c>
      <c r="D4" s="3" t="s">
        <v>22</v>
      </c>
      <c r="E4" s="3" t="s">
        <v>30</v>
      </c>
      <c r="F4" s="3" t="s">
        <v>33</v>
      </c>
      <c r="G4" s="3" t="s">
        <v>35</v>
      </c>
      <c r="H4" s="3" t="s">
        <v>37</v>
      </c>
      <c r="I4" s="3" t="s">
        <v>41</v>
      </c>
      <c r="J4" s="3" t="s">
        <v>42</v>
      </c>
      <c r="K4" s="3" t="s">
        <v>45</v>
      </c>
      <c r="L4" s="3" t="s">
        <v>51</v>
      </c>
      <c r="M4" s="3" t="s">
        <v>54</v>
      </c>
      <c r="N4" s="3" t="s">
        <v>47</v>
      </c>
      <c r="O4" s="3" t="s">
        <v>50</v>
      </c>
      <c r="P4" s="3" t="s">
        <v>74</v>
      </c>
      <c r="Q4" s="3" t="s">
        <v>78</v>
      </c>
      <c r="R4" s="3" t="s">
        <v>79</v>
      </c>
      <c r="S4" s="3" t="s">
        <v>80</v>
      </c>
      <c r="T4" s="3" t="s">
        <v>83</v>
      </c>
      <c r="U4" s="3" t="s">
        <v>84</v>
      </c>
      <c r="V4" s="3" t="s">
        <v>94</v>
      </c>
      <c r="W4" s="3" t="s">
        <v>103</v>
      </c>
      <c r="X4" s="3" t="s">
        <v>106</v>
      </c>
      <c r="Y4" s="3" t="s">
        <v>107</v>
      </c>
      <c r="Z4" s="3" t="s">
        <v>116</v>
      </c>
    </row>
    <row r="5" customFormat="false" ht="49.5" hidden="false" customHeight="true" outlineLevel="0" collapsed="false">
      <c r="A5" s="5" t="s">
        <v>117</v>
      </c>
      <c r="B5" s="5" t="s">
        <v>118</v>
      </c>
      <c r="C5" s="5" t="s">
        <v>119</v>
      </c>
      <c r="D5" s="5" t="s">
        <v>120</v>
      </c>
      <c r="E5" s="7" t="n">
        <v>2240</v>
      </c>
      <c r="F5" s="5" t="s">
        <v>121</v>
      </c>
      <c r="G5" s="5" t="s">
        <v>122</v>
      </c>
      <c r="H5" s="6" t="n">
        <v>15</v>
      </c>
      <c r="I5" s="6" t="n">
        <v>60</v>
      </c>
      <c r="J5" s="6" t="n">
        <v>1750</v>
      </c>
      <c r="K5" s="6" t="n">
        <v>1525</v>
      </c>
      <c r="L5" s="6" t="n">
        <v>75</v>
      </c>
      <c r="M5" s="6" t="n">
        <v>15</v>
      </c>
      <c r="N5" s="14" t="s">
        <v>123</v>
      </c>
      <c r="O5" s="14" t="s">
        <v>124</v>
      </c>
      <c r="P5" s="15" t="n">
        <v>0.66</v>
      </c>
      <c r="Q5" s="15" t="n">
        <v>0.22</v>
      </c>
      <c r="R5" s="15" t="n">
        <v>0.12</v>
      </c>
      <c r="S5" s="16" t="n">
        <v>1.7</v>
      </c>
      <c r="T5" s="16" t="n">
        <v>0.8</v>
      </c>
      <c r="U5" s="17" t="s">
        <v>125</v>
      </c>
      <c r="V5" s="11" t="n">
        <v>38</v>
      </c>
      <c r="W5" s="18" t="n">
        <v>0.62</v>
      </c>
      <c r="X5" s="18" t="n">
        <v>0.23</v>
      </c>
      <c r="Y5" s="18" t="n">
        <v>0.15</v>
      </c>
      <c r="Z5" s="19" t="n">
        <f aca="false">IF(ISNUMBER(W5),(P5-W5)*100,"pending market pull")</f>
        <v>4</v>
      </c>
    </row>
    <row r="6" customFormat="false" ht="49.5" hidden="false" customHeight="true" outlineLevel="0" collapsed="false">
      <c r="A6" s="5" t="s">
        <v>126</v>
      </c>
      <c r="B6" s="5" t="s">
        <v>127</v>
      </c>
      <c r="C6" s="5" t="s">
        <v>128</v>
      </c>
      <c r="D6" s="5" t="s">
        <v>129</v>
      </c>
      <c r="E6" s="7" t="n">
        <v>76</v>
      </c>
      <c r="F6" s="5" t="s">
        <v>130</v>
      </c>
      <c r="G6" s="5" t="s">
        <v>131</v>
      </c>
      <c r="H6" s="6" t="n">
        <v>30</v>
      </c>
      <c r="I6" s="6" t="n">
        <v>70</v>
      </c>
      <c r="J6" s="6" t="n">
        <v>1610</v>
      </c>
      <c r="K6" s="6" t="n">
        <v>1480</v>
      </c>
      <c r="L6" s="6" t="n">
        <v>75</v>
      </c>
      <c r="M6" s="6" t="n">
        <v>0</v>
      </c>
      <c r="N6" s="14" t="s">
        <v>132</v>
      </c>
      <c r="O6" s="14" t="s">
        <v>133</v>
      </c>
      <c r="P6" s="15" t="n">
        <v>0.5</v>
      </c>
      <c r="Q6" s="15" t="n">
        <v>0.26</v>
      </c>
      <c r="R6" s="15" t="n">
        <v>0.24</v>
      </c>
      <c r="S6" s="16" t="n">
        <v>1.4</v>
      </c>
      <c r="T6" s="16" t="n">
        <v>1</v>
      </c>
      <c r="U6" s="17" t="s">
        <v>134</v>
      </c>
      <c r="V6" s="11" t="n">
        <v>38</v>
      </c>
      <c r="W6" s="18"/>
      <c r="X6" s="18"/>
      <c r="Y6" s="18"/>
      <c r="Z6" s="19" t="str">
        <f aca="false">IF(ISNUMBER(W6),(P6-W6)*100,"pending market pull")</f>
        <v>pending market pull</v>
      </c>
    </row>
    <row r="7" customFormat="false" ht="49.5" hidden="false" customHeight="true" outlineLevel="0" collapsed="false">
      <c r="A7" s="5" t="s">
        <v>135</v>
      </c>
      <c r="B7" s="5" t="s">
        <v>136</v>
      </c>
      <c r="C7" s="5" t="s">
        <v>137</v>
      </c>
      <c r="D7" s="5" t="s">
        <v>138</v>
      </c>
      <c r="E7" s="7" t="n">
        <v>32</v>
      </c>
      <c r="F7" s="5" t="s">
        <v>139</v>
      </c>
      <c r="G7" s="5" t="s">
        <v>140</v>
      </c>
      <c r="H7" s="6" t="n">
        <v>16</v>
      </c>
      <c r="I7" s="6" t="n">
        <v>53</v>
      </c>
      <c r="J7" s="6" t="n">
        <v>1745</v>
      </c>
      <c r="K7" s="6" t="n">
        <v>1545</v>
      </c>
      <c r="L7" s="6" t="n">
        <v>75</v>
      </c>
      <c r="M7" s="6" t="n">
        <v>0</v>
      </c>
      <c r="N7" s="14" t="s">
        <v>141</v>
      </c>
      <c r="O7" s="14" t="s">
        <v>142</v>
      </c>
      <c r="P7" s="15" t="n">
        <v>0.58</v>
      </c>
      <c r="Q7" s="15" t="n">
        <v>0.23</v>
      </c>
      <c r="R7" s="15" t="n">
        <v>0.19</v>
      </c>
      <c r="S7" s="16" t="n">
        <v>1.6</v>
      </c>
      <c r="T7" s="16" t="n">
        <v>0.9</v>
      </c>
      <c r="U7" s="17" t="s">
        <v>125</v>
      </c>
      <c r="V7" s="11" t="n">
        <v>38</v>
      </c>
      <c r="W7" s="18"/>
      <c r="X7" s="18"/>
      <c r="Y7" s="18"/>
      <c r="Z7" s="19" t="str">
        <f aca="false">IF(ISNUMBER(W7),(P7-W7)*100,"pending market pull")</f>
        <v>pending market pull</v>
      </c>
    </row>
    <row r="8" customFormat="false" ht="49.5" hidden="false" customHeight="true" outlineLevel="0" collapsed="false">
      <c r="A8" s="5" t="s">
        <v>143</v>
      </c>
      <c r="B8" s="5" t="s">
        <v>144</v>
      </c>
      <c r="C8" s="5" t="s">
        <v>145</v>
      </c>
      <c r="D8" s="5" t="s">
        <v>146</v>
      </c>
      <c r="E8" s="7" t="n">
        <v>0</v>
      </c>
      <c r="F8" s="5" t="s">
        <v>147</v>
      </c>
      <c r="G8" s="5" t="s">
        <v>148</v>
      </c>
      <c r="H8" s="6" t="n">
        <v>5</v>
      </c>
      <c r="I8" s="6" t="n">
        <v>14</v>
      </c>
      <c r="J8" s="6" t="n">
        <v>2050</v>
      </c>
      <c r="K8" s="6" t="n">
        <v>1875</v>
      </c>
      <c r="L8" s="6" t="n">
        <v>0</v>
      </c>
      <c r="M8" s="6" t="n">
        <v>0</v>
      </c>
      <c r="N8" s="14" t="s">
        <v>149</v>
      </c>
      <c r="O8" s="14" t="s">
        <v>150</v>
      </c>
      <c r="P8" s="15" t="n">
        <v>0.55</v>
      </c>
      <c r="Q8" s="15" t="n">
        <v>0.25</v>
      </c>
      <c r="R8" s="15" t="n">
        <v>0.2</v>
      </c>
      <c r="S8" s="16" t="n">
        <v>1.7</v>
      </c>
      <c r="T8" s="16" t="n">
        <v>1.1</v>
      </c>
      <c r="U8" s="17" t="s">
        <v>125</v>
      </c>
      <c r="V8" s="11" t="n">
        <v>38</v>
      </c>
      <c r="W8" s="18"/>
      <c r="X8" s="18"/>
      <c r="Y8" s="18"/>
      <c r="Z8" s="19" t="str">
        <f aca="false">IF(ISNUMBER(W8),(P8-W8)*100,"pending market pull")</f>
        <v>pending market pull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48"/>
    <col collapsed="false" customWidth="true" hidden="false" outlineLevel="0" max="5" min="5" style="0" width="72"/>
  </cols>
  <sheetData>
    <row r="1" customFormat="false" ht="17.35" hidden="false" customHeight="false" outlineLevel="0" collapsed="false">
      <c r="A1" s="1" t="s">
        <v>151</v>
      </c>
      <c r="B1" s="1"/>
      <c r="C1" s="1"/>
      <c r="D1" s="1"/>
      <c r="E1" s="1"/>
    </row>
    <row r="3" customFormat="false" ht="27.75" hidden="false" customHeight="true" outlineLevel="0" collapsed="false">
      <c r="A3" s="3" t="s">
        <v>9</v>
      </c>
      <c r="B3" s="3" t="s">
        <v>152</v>
      </c>
      <c r="C3" s="3" t="s">
        <v>153</v>
      </c>
      <c r="D3" s="3" t="s">
        <v>154</v>
      </c>
      <c r="E3" s="3" t="s">
        <v>155</v>
      </c>
    </row>
    <row r="4" customFormat="false" ht="180" hidden="false" customHeight="true" outlineLevel="0" collapsed="false">
      <c r="A4" s="20" t="s">
        <v>117</v>
      </c>
      <c r="B4" s="21" t="s">
        <v>156</v>
      </c>
      <c r="C4" s="5" t="s">
        <v>157</v>
      </c>
      <c r="D4" s="5" t="s">
        <v>158</v>
      </c>
      <c r="E4" s="5" t="s">
        <v>159</v>
      </c>
    </row>
    <row r="5" customFormat="false" ht="180" hidden="false" customHeight="true" outlineLevel="0" collapsed="false">
      <c r="A5" s="20" t="s">
        <v>126</v>
      </c>
      <c r="B5" s="21" t="s">
        <v>160</v>
      </c>
      <c r="C5" s="5" t="s">
        <v>161</v>
      </c>
      <c r="D5" s="5" t="s">
        <v>162</v>
      </c>
      <c r="E5" s="5" t="s">
        <v>163</v>
      </c>
    </row>
    <row r="6" customFormat="false" ht="180" hidden="false" customHeight="true" outlineLevel="0" collapsed="false">
      <c r="A6" s="20" t="s">
        <v>135</v>
      </c>
      <c r="B6" s="21" t="s">
        <v>164</v>
      </c>
      <c r="C6" s="5" t="s">
        <v>165</v>
      </c>
      <c r="D6" s="5" t="s">
        <v>166</v>
      </c>
      <c r="E6" s="5" t="s">
        <v>167</v>
      </c>
    </row>
    <row r="7" customFormat="false" ht="180" hidden="false" customHeight="true" outlineLevel="0" collapsed="false">
      <c r="A7" s="20" t="s">
        <v>143</v>
      </c>
      <c r="B7" s="21" t="s">
        <v>168</v>
      </c>
      <c r="C7" s="5" t="s">
        <v>169</v>
      </c>
      <c r="D7" s="5" t="s">
        <v>170</v>
      </c>
      <c r="E7" s="5" t="s">
        <v>171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172</v>
      </c>
      <c r="B1" s="1"/>
      <c r="C1" s="1"/>
      <c r="D1" s="1"/>
      <c r="E1" s="1"/>
    </row>
    <row r="3" customFormat="false" ht="27.75" hidden="false" customHeight="true" outlineLevel="0" collapsed="false">
      <c r="A3" s="3" t="s">
        <v>173</v>
      </c>
      <c r="B3" s="3" t="s">
        <v>174</v>
      </c>
      <c r="C3" s="3" t="s">
        <v>175</v>
      </c>
      <c r="D3" s="3" t="s">
        <v>176</v>
      </c>
      <c r="E3" s="3" t="s">
        <v>177</v>
      </c>
    </row>
    <row r="4" customFormat="false" ht="64.5" hidden="false" customHeight="true" outlineLevel="0" collapsed="false">
      <c r="A4" s="22" t="n">
        <v>1</v>
      </c>
      <c r="B4" s="5" t="s">
        <v>178</v>
      </c>
      <c r="C4" s="5" t="s">
        <v>179</v>
      </c>
      <c r="D4" s="5" t="s">
        <v>180</v>
      </c>
      <c r="E4" s="23" t="s">
        <v>13</v>
      </c>
    </row>
    <row r="5" customFormat="false" ht="64.5" hidden="false" customHeight="true" outlineLevel="0" collapsed="false">
      <c r="A5" s="22" t="n">
        <v>2</v>
      </c>
      <c r="B5" s="5" t="s">
        <v>181</v>
      </c>
      <c r="C5" s="5" t="s">
        <v>182</v>
      </c>
      <c r="D5" s="5" t="s">
        <v>183</v>
      </c>
      <c r="E5" s="23" t="s">
        <v>13</v>
      </c>
    </row>
    <row r="6" customFormat="false" ht="64.5" hidden="false" customHeight="true" outlineLevel="0" collapsed="false">
      <c r="A6" s="22" t="n">
        <v>3</v>
      </c>
      <c r="B6" s="5" t="s">
        <v>184</v>
      </c>
      <c r="C6" s="5" t="s">
        <v>185</v>
      </c>
      <c r="D6" s="5" t="s">
        <v>186</v>
      </c>
      <c r="E6" s="23" t="s">
        <v>13</v>
      </c>
    </row>
    <row r="7" customFormat="false" ht="64.5" hidden="false" customHeight="true" outlineLevel="0" collapsed="false">
      <c r="A7" s="22" t="n">
        <v>4</v>
      </c>
      <c r="B7" s="5" t="s">
        <v>187</v>
      </c>
      <c r="C7" s="5" t="s">
        <v>188</v>
      </c>
      <c r="D7" s="5" t="s">
        <v>186</v>
      </c>
      <c r="E7" s="7" t="s">
        <v>60</v>
      </c>
    </row>
    <row r="8" customFormat="false" ht="64.5" hidden="false" customHeight="true" outlineLevel="0" collapsed="false">
      <c r="A8" s="22" t="n">
        <v>5</v>
      </c>
      <c r="B8" s="5" t="s">
        <v>189</v>
      </c>
      <c r="C8" s="5" t="s">
        <v>190</v>
      </c>
      <c r="D8" s="5" t="s">
        <v>191</v>
      </c>
      <c r="E8" s="7" t="s">
        <v>60</v>
      </c>
    </row>
    <row r="9" customFormat="false" ht="64.5" hidden="false" customHeight="true" outlineLevel="0" collapsed="false">
      <c r="A9" s="22" t="n">
        <v>6</v>
      </c>
      <c r="B9" s="5" t="s">
        <v>192</v>
      </c>
      <c r="C9" s="5" t="s">
        <v>193</v>
      </c>
      <c r="D9" s="5" t="s">
        <v>186</v>
      </c>
      <c r="E9" s="7" t="s">
        <v>60</v>
      </c>
    </row>
    <row r="10" customFormat="false" ht="64.5" hidden="false" customHeight="true" outlineLevel="0" collapsed="false">
      <c r="A10" s="22" t="n">
        <v>7</v>
      </c>
      <c r="B10" s="5" t="s">
        <v>194</v>
      </c>
      <c r="C10" s="5" t="s">
        <v>195</v>
      </c>
      <c r="D10" s="5" t="s">
        <v>183</v>
      </c>
      <c r="E10" s="7" t="s">
        <v>60</v>
      </c>
    </row>
    <row r="11" customFormat="false" ht="64.5" hidden="false" customHeight="true" outlineLevel="0" collapsed="false">
      <c r="A11" s="22" t="n">
        <v>8</v>
      </c>
      <c r="B11" s="5" t="s">
        <v>196</v>
      </c>
      <c r="C11" s="5" t="s">
        <v>197</v>
      </c>
      <c r="D11" s="5" t="s">
        <v>183</v>
      </c>
      <c r="E11" s="7" t="s">
        <v>60</v>
      </c>
    </row>
    <row r="12" customFormat="false" ht="64.5" hidden="false" customHeight="true" outlineLevel="0" collapsed="false">
      <c r="A12" s="22" t="n">
        <v>9</v>
      </c>
      <c r="B12" s="5" t="s">
        <v>198</v>
      </c>
      <c r="C12" s="5" t="s">
        <v>199</v>
      </c>
      <c r="D12" s="5" t="s">
        <v>186</v>
      </c>
      <c r="E12" s="7" t="s">
        <v>60</v>
      </c>
    </row>
    <row r="13" customFormat="false" ht="64.5" hidden="false" customHeight="true" outlineLevel="0" collapsed="false">
      <c r="A13" s="22" t="n">
        <v>10</v>
      </c>
      <c r="B13" s="5" t="s">
        <v>200</v>
      </c>
      <c r="C13" s="5" t="s">
        <v>201</v>
      </c>
      <c r="D13" s="5" t="s">
        <v>186</v>
      </c>
      <c r="E13" s="7" t="s">
        <v>60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2026-05-03T17:57:07Z</dcterms:created>
  <dc:creator>openpyxl</dc:creator>
  <dc:description/>
  <dc:language>en-US</dc:language>
  <cp:lastModifiedBy/>
  <dcterms:modified xsi:type="dcterms:W3CDTF">2026-05-03T17:57:07Z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