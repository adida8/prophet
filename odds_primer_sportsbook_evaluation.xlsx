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ortsbook Evaluation" sheetId="1" state="visible" r:id="rId3"/>
    <sheet name="Methodology &amp;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<sst xmlns="http://schemas.openxmlformats.org/spreadsheetml/2006/main" count="192" uniqueCount="153">
  <si>
    <t xml:space="preserve">Odds Primer — Sportsbook &amp; Prediction Market Evaluation</t>
  </si>
  <si>
    <t xml:space="preserve">World Cup 2026 MVP — relevance scoring across audience fit, data access, monetization, and bridge-positioning value. Adjust weights below; scores update automatically.</t>
  </si>
  <si>
    <t xml:space="preserve">WEIGHTS  (edit blue cells — must sum to 100%)</t>
  </si>
  <si>
    <t xml:space="preserve">Dimension</t>
  </si>
  <si>
    <t xml:space="preserve">Weight</t>
  </si>
  <si>
    <t xml:space="preserve">Description</t>
  </si>
  <si>
    <t xml:space="preserve">WC26 Relevance</t>
  </si>
  <si>
    <t xml:space="preserve">Soccer/WC market depth and tournament marketing presence</t>
  </si>
  <si>
    <t xml:space="preserve">Casual Fit</t>
  </si>
  <si>
    <t xml:space="preserve">How well the book serves educational/casual users (not sharps)</t>
  </si>
  <si>
    <t xml:space="preserve">Data Access</t>
  </si>
  <si>
    <t xml:space="preserve">Ease of getting odds — public API, partner feed, scraping difficulty</t>
  </si>
  <si>
    <t xml:space="preserve">Affiliate Strength</t>
  </si>
  <si>
    <t xml:space="preserve">Program quality, CPA size, geographic coverage</t>
  </si>
  <si>
    <t xml:space="preserve">Bridge / Uniqueness</t>
  </si>
  <si>
    <t xml:space="preserve">Unique strategic value (e.g. prediction markets we can pair)</t>
  </si>
  <si>
    <t xml:space="preserve">Total</t>
  </si>
  <si>
    <t xml:space="preserve">Should equal 100.0%</t>
  </si>
  <si>
    <t xml:space="preserve">SCORING KEY  (1 = Low,  2 = Medium,  3 = High)</t>
  </si>
  <si>
    <t xml:space="preserve">Sportsbook / Market</t>
  </si>
  <si>
    <t xml:space="preserve">Tier</t>
  </si>
  <si>
    <t xml:space="preserve">Type</t>
  </si>
  <si>
    <t xml:space="preserve">Geography</t>
  </si>
  <si>
    <t xml:space="preserve">WC26
Relevance</t>
  </si>
  <si>
    <t xml:space="preserve">Casual
Fit</t>
  </si>
  <si>
    <t xml:space="preserve">Data
Access</t>
  </si>
  <si>
    <t xml:space="preserve">Affiliate
Strength</t>
  </si>
  <si>
    <t xml:space="preserve">Bridge /
Uniqueness</t>
  </si>
  <si>
    <t xml:space="preserve">Weighted
Score</t>
  </si>
  <si>
    <t xml:space="preserve">Affiliate Program</t>
  </si>
  <si>
    <t xml:space="preserve">CPA Range (USD)</t>
  </si>
  <si>
    <t xml:space="preserve">US Licensing</t>
  </si>
  <si>
    <t xml:space="preserve">Strategic Notes</t>
  </si>
  <si>
    <t xml:space="preserve">DraftKings</t>
  </si>
  <si>
    <t xml:space="preserve">Sportsbook</t>
  </si>
  <si>
    <t xml:space="preserve">US</t>
  </si>
  <si>
    <t xml:space="preserve">Yes — DK Affiliates (Impact)</t>
  </si>
  <si>
    <t xml:space="preserve">$200–500</t>
  </si>
  <si>
    <t xml:space="preserve">26 states + DC</t>
  </si>
  <si>
    <t xml:space="preserve">US handle leader with FanDuel; aggressive WC marketing; no public odds API → odds-feed partner needed</t>
  </si>
  <si>
    <t xml:space="preserve">FanDuel</t>
  </si>
  <si>
    <t xml:space="preserve">Yes — Flutter affiliates</t>
  </si>
  <si>
    <t xml:space="preserve">23 states + DC</t>
  </si>
  <si>
    <t xml:space="preserve">Largest US revenue; Flutter-owned (also owns Paddy Power, Betfair); strongest casual brand recall</t>
  </si>
  <si>
    <t xml:space="preserve">BetMGM</t>
  </si>
  <si>
    <t xml:space="preserve">Yes — direct + Income Access</t>
  </si>
  <si>
    <t xml:space="preserve">$150–400</t>
  </si>
  <si>
    <t xml:space="preserve">27 states</t>
  </si>
  <si>
    <t xml:space="preserve">MGM brand → travel/leisure casual; promo-heavy; data via partners only</t>
  </si>
  <si>
    <t xml:space="preserve">Caesars</t>
  </si>
  <si>
    <t xml:space="preserve">Yes — Caesars Affiliates</t>
  </si>
  <si>
    <t xml:space="preserve">23 states</t>
  </si>
  <si>
    <t xml:space="preserve">Major brand, ManningCast era spend pulled back; still Tier-1 by handle</t>
  </si>
  <si>
    <t xml:space="preserve">ESPN BET</t>
  </si>
  <si>
    <t xml:space="preserve">Yes — Penn Play Affiliates</t>
  </si>
  <si>
    <t xml:space="preserve">20 states</t>
  </si>
  <si>
    <t xml:space="preserve">ESPN brand is uniquely strong with casuals; education positioning aligns; Penn Entertainment licensing</t>
  </si>
  <si>
    <t xml:space="preserve">Fanatics Sportsbook</t>
  </si>
  <si>
    <t xml:space="preserve">Yes — emerging program</t>
  </si>
  <si>
    <t xml:space="preserve">$100–300</t>
  </si>
  <si>
    <t xml:space="preserve">22 states</t>
  </si>
  <si>
    <t xml:space="preserve">Newer entrant, content-heavy roadmap; loyalty crossover with Fanatics retail</t>
  </si>
  <si>
    <t xml:space="preserve">Bet365</t>
  </si>
  <si>
    <t xml:space="preserve">Global (UK/EU/LatAm/AU)</t>
  </si>
  <si>
    <t xml:space="preserve">Yes — Bet365 Partners</t>
  </si>
  <si>
    <t xml:space="preserve">$50–150 EU; geo-variable</t>
  </si>
  <si>
    <t xml:space="preserve">NJ, CO, IA, KY, OH, VA</t>
  </si>
  <si>
    <t xml:space="preserve">Deepest soccer book in the world; WC market depth unmatched; UI is sharp-leaning, not casual-first</t>
  </si>
  <si>
    <t xml:space="preserve">Pinnacle</t>
  </si>
  <si>
    <t xml:space="preserve">Sportsbook (Sharp)</t>
  </si>
  <si>
    <t xml:space="preserve">Global ex-US</t>
  </si>
  <si>
    <t xml:space="preserve">Yes — Pinnacle Partners (rev-share)</t>
  </si>
  <si>
    <t xml:space="preserve">Rev share 20–30%</t>
  </si>
  <si>
    <t xml:space="preserve">Not US-licensed</t>
  </si>
  <si>
    <t xml:space="preserve">Sharp reference price; *true line* anchor for educational comparisons ("here's what smart money thinks")</t>
  </si>
  <si>
    <t xml:space="preserve">Betfair Exchange</t>
  </si>
  <si>
    <t xml:space="preserve">Exchange</t>
  </si>
  <si>
    <t xml:space="preserve">UK/EU + select</t>
  </si>
  <si>
    <t xml:space="preserve">Rev share</t>
  </si>
  <si>
    <t xml:space="preserve">Not US</t>
  </si>
  <si>
    <t xml:space="preserve">Public API; exchange pricing is uniquely educational (true peer-to-peer market price)</t>
  </si>
  <si>
    <t xml:space="preserve">Kalshi</t>
  </si>
  <si>
    <t xml:space="preserve">Prediction Market</t>
  </si>
  <si>
    <t xml:space="preserve">Limited / partnership only</t>
  </si>
  <si>
    <t xml:space="preserve">N/A — partnership</t>
  </si>
  <si>
    <t xml:space="preserve">CFTC-regulated, all 50 states</t>
  </si>
  <si>
    <t xml:space="preserve">CFTC-approved sports event contracts now live; public API; THE bridge play — pair with sportsbook lines</t>
  </si>
  <si>
    <t xml:space="preserve">Polymarket</t>
  </si>
  <si>
    <t xml:space="preserve">Offshore</t>
  </si>
  <si>
    <t xml:space="preserve">No formal program</t>
  </si>
  <si>
    <t xml:space="preserve">N/A</t>
  </si>
  <si>
    <t xml:space="preserve">No US retail</t>
  </si>
  <si>
    <t xml:space="preserve">Highest WC volume on prediction-market side; public API; can show prices but not refer US users</t>
  </si>
  <si>
    <t xml:space="preserve">Prophet Exchange</t>
  </si>
  <si>
    <t xml:space="preserve">Peer-to-Peer Sportsbook</t>
  </si>
  <si>
    <t xml:space="preserve">US (NJ, IN)</t>
  </si>
  <si>
    <t xml:space="preserve">Yes — emerging</t>
  </si>
  <si>
    <t xml:space="preserve">$100–200</t>
  </si>
  <si>
    <t xml:space="preserve">NJ, IN</t>
  </si>
  <si>
    <t xml:space="preserve">P2P sportsbetting model under standard sports licensing; small but uniquely positioned</t>
  </si>
  <si>
    <t xml:space="preserve">Caliente</t>
  </si>
  <si>
    <t xml:space="preserve">Mexico</t>
  </si>
  <si>
    <t xml:space="preserve">Yes — Caliente Affiliates</t>
  </si>
  <si>
    <t xml:space="preserve">Lower (~$50–150)</t>
  </si>
  <si>
    <t xml:space="preserve">Mexico (host country)</t>
  </si>
  <si>
    <t xml:space="preserve">Mexico's dominant book; WC host advantage; data access weaker, mostly Spanish-language</t>
  </si>
  <si>
    <t xml:space="preserve">Stake.com</t>
  </si>
  <si>
    <t xml:space="preserve">Global ex-regulated</t>
  </si>
  <si>
    <t xml:space="preserve">Yes — Stake Affiliates</t>
  </si>
  <si>
    <t xml:space="preserve">Not US/UK regulated</t>
  </si>
  <si>
    <t xml:space="preserve">Crypto-native, casual-forward UX, massive LatAm reach; reputational care needed (UK ban, AU restrictions)</t>
  </si>
  <si>
    <t xml:space="preserve">Codere</t>
  </si>
  <si>
    <t xml:space="preserve">Spain / LatAm</t>
  </si>
  <si>
    <t xml:space="preserve">Yes</t>
  </si>
  <si>
    <t xml:space="preserve">Spain, MX, ARG, CO</t>
  </si>
  <si>
    <t xml:space="preserve">Spanish-language footprint useful for WC LatAm audience</t>
  </si>
  <si>
    <t xml:space="preserve">Paddy Power</t>
  </si>
  <si>
    <t xml:space="preserve">UK/Ireland</t>
  </si>
  <si>
    <t xml:space="preserve">$50–100</t>
  </si>
  <si>
    <t xml:space="preserve">UK/IRE only</t>
  </si>
  <si>
    <t xml:space="preserve">Brand-led casual-friendly tone aligns with educational voice; Flutter ecosystem</t>
  </si>
  <si>
    <t xml:space="preserve">Sky Bet</t>
  </si>
  <si>
    <t xml:space="preserve">UK</t>
  </si>
  <si>
    <t xml:space="preserve">UK only</t>
  </si>
  <si>
    <t xml:space="preserve">UK soccer-first casual brand; tight margins</t>
  </si>
  <si>
    <t xml:space="preserve">William Hill</t>
  </si>
  <si>
    <t xml:space="preserve">UK + select</t>
  </si>
  <si>
    <t xml:space="preserve">Yes — 888/WH affiliates</t>
  </si>
  <si>
    <t xml:space="preserve">Limited US states</t>
  </si>
  <si>
    <t xml:space="preserve">Mature UK brand; less differentiated for our positioning</t>
  </si>
  <si>
    <t xml:space="preserve">Ladbrokes / Coral</t>
  </si>
  <si>
    <t xml:space="preserve">Yes — Entain affiliates</t>
  </si>
  <si>
    <t xml:space="preserve">Entain group; mature program, low CPAs</t>
  </si>
  <si>
    <t xml:space="preserve">Unibet</t>
  </si>
  <si>
    <t xml:space="preserve">Global (Kindred)</t>
  </si>
  <si>
    <t xml:space="preserve">Yes — Kindred affiliates</t>
  </si>
  <si>
    <t xml:space="preserve">$50–150</t>
  </si>
  <si>
    <t xml:space="preserve">PA, NJ, IN, AZ, VA</t>
  </si>
  <si>
    <t xml:space="preserve">Kindred-owned; clean UX; modest but real US presence</t>
  </si>
  <si>
    <t xml:space="preserve">Methodology &amp; Sources</t>
  </si>
  <si>
    <t xml:space="preserve">Scoring approach</t>
  </si>
  <si>
    <t xml:space="preserve">Each book is scored 1–3 (Low/Med/High) on five dimensions. The weighted score on the main sheet is a SUMPRODUCT of dimension scores × weights. Adjusting weights in B6:B10 updates every row.</t>
  </si>
  <si>
    <t xml:space="preserve">Soccer market depth + how heavily the book will market during World Cup 2026 (US/MX/CA host).</t>
  </si>
  <si>
    <t xml:space="preserve">How well the product serves educational/curious bettors vs. sharps. Sharp books like Pinnacle score 1 here even though they're operationally elite.</t>
  </si>
  <si>
    <t xml:space="preserve">Public APIs &gt; partner feeds &gt; scraping. Pinnacle, Betfair, Kalshi, Polymarket score 3 because their odds are publicly accessible. Most US sportsbooks require an odds-feed partner (Don Best, OddsJam, BetGenius, SportRadar).</t>
  </si>
  <si>
    <t xml:space="preserve">Combination of program existence, CPA size, geographic licensing, and approval likelihood for an early-stage publisher. CPA ranges are illustrative — actual rates depend on traffic quality and negotiation.</t>
  </si>
  <si>
    <t xml:space="preserve">How much pairing this venue with sportsbooks delivers a differentiated educational experience. Prediction markets (Kalshi, Polymarket, Prophet Exchange) and exchanges (Betfair) score highest because no incumbent oddschecker pairs them with traditional books.</t>
  </si>
  <si>
    <t xml:space="preserve">Tier rationale</t>
  </si>
  <si>
    <t xml:space="preserve">Tier 1: US handle leaders. Tier 2: global liquidity / reference price. Tier 3: prediction markets / exchanges (the bridge angle). Tier 4: LatAm and WC-host operators. Tier 5: mature UK/EU.</t>
  </si>
  <si>
    <t xml:space="preserve">Scope choices</t>
  </si>
  <si>
    <t xml:space="preserve">Excluded: Bovada and other offshore .ag books (legal risk for US affiliate), Hard Rock Bet and BetRivers (mid-tier US, easy to add later), DEX/crypto-only books beyond Stake, in-state-only US operators.</t>
  </si>
  <si>
    <t xml:space="preserve">Caveats</t>
  </si>
  <si>
    <t xml:space="preserve">CPA figures are mid-2026 industry ranges, not negotiated rates. US licensing counts move quickly — verify before integration. Prediction-market sports contracts (Kalshi) are evolving fast through 2026; CFTC posture could shift.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</si>
</sst>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374151"/>
        <bgColor rgb="FF4B5563"/>
      </patternFill>
    </fill>
    <fill>
      <patternFill patternType="solid">
        <fgColor rgb="FF4B5563"/>
        <bgColor rgb="FF555555"/>
      </patternFill>
    </fill>
    <fill>
      <patternFill patternType="solid">
        <fgColor rgb="FFFEF3C7"/>
        <bgColor rgb="FFF3F4F6"/>
      </patternFill>
    </fill>
    <fill>
      <patternFill patternType="solid">
        <fgColor rgb="FFDBEAFE"/>
        <bgColor rgb="FFE0F2FE"/>
      </patternFill>
    </fill>
    <fill>
      <patternFill patternType="solid">
        <fgColor rgb="FFE0F2FE"/>
        <bgColor rgb="FFDBEAFE"/>
      </patternFill>
    </fill>
    <fill>
      <patternFill patternType="solid">
        <fgColor rgb="FFDCFCE7"/>
        <bgColor rgb="FFE0F2FE"/>
      </patternFill>
    </fill>
    <fill>
      <patternFill patternType="solid">
        <fgColor rgb="FFF3F4F6"/>
        <bgColor rgb="FFE0F2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B5563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DBEAFE"/>
      <rgbColor rgb="FFF3F4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4" min="3" style="0" width="2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10" min="8" style="0" width="11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5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3.85" hidden="false" customHeight="true" outlineLevel="0" collapsed="false">
      <c r="A5" s="4" t="s">
        <v>3</v>
      </c>
      <c r="B5" s="4" t="s">
        <v>4</v>
      </c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6" t="s">
        <v>6</v>
      </c>
      <c r="B6" s="7" t="n">
        <v>0.2</v>
      </c>
      <c r="C6" s="8" t="s">
        <v>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5" hidden="false" customHeight="true" outlineLevel="0" collapsed="false">
      <c r="A7" s="6" t="s">
        <v>8</v>
      </c>
      <c r="B7" s="7" t="n">
        <v>0.25</v>
      </c>
      <c r="C7" s="8" t="s">
        <v>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5" hidden="false" customHeight="true" outlineLevel="0" collapsed="false">
      <c r="A8" s="6" t="s">
        <v>10</v>
      </c>
      <c r="B8" s="7" t="n">
        <v>0.2</v>
      </c>
      <c r="C8" s="8" t="s">
        <v>11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5" hidden="false" customHeight="true" outlineLevel="0" collapsed="false">
      <c r="A9" s="6" t="s">
        <v>12</v>
      </c>
      <c r="B9" s="7" t="n">
        <v>0.2</v>
      </c>
      <c r="C9" s="8" t="s">
        <v>13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15" hidden="false" customHeight="true" outlineLevel="0" collapsed="false">
      <c r="A10" s="6" t="s">
        <v>14</v>
      </c>
      <c r="B10" s="7" t="n">
        <v>0.15</v>
      </c>
      <c r="C10" s="8" t="s">
        <v>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3.85" hidden="false" customHeight="false" outlineLevel="0" collapsed="false">
      <c r="A11" s="9" t="s">
        <v>16</v>
      </c>
      <c r="B11" s="10" t="n">
        <f aca="false">SUM(B6:B10)</f>
        <v>1</v>
      </c>
      <c r="C11" s="11" t="s">
        <v>17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3" customFormat="false" ht="15" hidden="false" customHeight="true" outlineLevel="0" collapsed="false">
      <c r="A13" s="3" t="s">
        <v>18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5" customFormat="false" ht="31.5" hidden="false" customHeight="true" outlineLevel="0" collapsed="false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4" t="s">
        <v>25</v>
      </c>
      <c r="H15" s="4" t="s">
        <v>26</v>
      </c>
      <c r="I15" s="4" t="s">
        <v>27</v>
      </c>
      <c r="J15" s="4" t="s">
        <v>28</v>
      </c>
      <c r="K15" s="4" t="s">
        <v>29</v>
      </c>
      <c r="L15" s="4" t="s">
        <v>30</v>
      </c>
      <c r="M15" s="4" t="s">
        <v>31</v>
      </c>
      <c r="N15" s="4" t="s">
        <v>32</v>
      </c>
    </row>
    <row r="16" customFormat="false" ht="48" hidden="false" customHeight="true" outlineLevel="0" collapsed="false">
      <c r="A16" s="12" t="s">
        <v>33</v>
      </c>
      <c r="B16" s="13" t="n">
        <v>1</v>
      </c>
      <c r="C16" s="6" t="s">
        <v>34</v>
      </c>
      <c r="D16" s="6" t="s">
        <v>35</v>
      </c>
      <c r="E16" s="14" t="n">
        <v>3</v>
      </c>
      <c r="F16" s="14" t="n">
        <v>3</v>
      </c>
      <c r="G16" s="14" t="n">
        <v>2</v>
      </c>
      <c r="H16" s="14" t="n">
        <v>3</v>
      </c>
      <c r="I16" s="14" t="n">
        <v>1</v>
      </c>
      <c r="J16" s="15" t="n">
        <f aca="false">E16*$B$6+F16*$B$7+G16*$B$8+H16*$B$9+I16*$B$10</f>
        <v>2.5</v>
      </c>
      <c r="K16" s="6" t="s">
        <v>36</v>
      </c>
      <c r="L16" s="6" t="s">
        <v>37</v>
      </c>
      <c r="M16" s="6" t="s">
        <v>38</v>
      </c>
      <c r="N16" s="6" t="s">
        <v>39</v>
      </c>
    </row>
    <row r="17" customFormat="false" ht="48" hidden="false" customHeight="true" outlineLevel="0" collapsed="false">
      <c r="A17" s="12" t="s">
        <v>40</v>
      </c>
      <c r="B17" s="13" t="n">
        <v>1</v>
      </c>
      <c r="C17" s="6" t="s">
        <v>34</v>
      </c>
      <c r="D17" s="6" t="s">
        <v>35</v>
      </c>
      <c r="E17" s="14" t="n">
        <v>3</v>
      </c>
      <c r="F17" s="14" t="n">
        <v>3</v>
      </c>
      <c r="G17" s="14" t="n">
        <v>2</v>
      </c>
      <c r="H17" s="14" t="n">
        <v>3</v>
      </c>
      <c r="I17" s="14" t="n">
        <v>1</v>
      </c>
      <c r="J17" s="15" t="n">
        <f aca="false">E17*$B$6+F17*$B$7+G17*$B$8+H17*$B$9+I17*$B$10</f>
        <v>2.5</v>
      </c>
      <c r="K17" s="6" t="s">
        <v>41</v>
      </c>
      <c r="L17" s="6" t="s">
        <v>37</v>
      </c>
      <c r="M17" s="6" t="s">
        <v>42</v>
      </c>
      <c r="N17" s="6" t="s">
        <v>43</v>
      </c>
    </row>
    <row r="18" customFormat="false" ht="48" hidden="false" customHeight="true" outlineLevel="0" collapsed="false">
      <c r="A18" s="12" t="s">
        <v>44</v>
      </c>
      <c r="B18" s="13" t="n">
        <v>1</v>
      </c>
      <c r="C18" s="6" t="s">
        <v>34</v>
      </c>
      <c r="D18" s="6" t="s">
        <v>35</v>
      </c>
      <c r="E18" s="14" t="n">
        <v>3</v>
      </c>
      <c r="F18" s="14" t="n">
        <v>3</v>
      </c>
      <c r="G18" s="14" t="n">
        <v>2</v>
      </c>
      <c r="H18" s="14" t="n">
        <v>3</v>
      </c>
      <c r="I18" s="14" t="n">
        <v>1</v>
      </c>
      <c r="J18" s="15" t="n">
        <f aca="false">E18*$B$6+F18*$B$7+G18*$B$8+H18*$B$9+I18*$B$10</f>
        <v>2.5</v>
      </c>
      <c r="K18" s="6" t="s">
        <v>45</v>
      </c>
      <c r="L18" s="6" t="s">
        <v>46</v>
      </c>
      <c r="M18" s="6" t="s">
        <v>47</v>
      </c>
      <c r="N18" s="6" t="s">
        <v>48</v>
      </c>
    </row>
    <row r="19" customFormat="false" ht="48" hidden="false" customHeight="true" outlineLevel="0" collapsed="false">
      <c r="A19" s="12" t="s">
        <v>49</v>
      </c>
      <c r="B19" s="13" t="n">
        <v>1</v>
      </c>
      <c r="C19" s="6" t="s">
        <v>34</v>
      </c>
      <c r="D19" s="6" t="s">
        <v>35</v>
      </c>
      <c r="E19" s="14" t="n">
        <v>3</v>
      </c>
      <c r="F19" s="14" t="n">
        <v>3</v>
      </c>
      <c r="G19" s="14" t="n">
        <v>2</v>
      </c>
      <c r="H19" s="14" t="n">
        <v>3</v>
      </c>
      <c r="I19" s="14" t="n">
        <v>1</v>
      </c>
      <c r="J19" s="15" t="n">
        <f aca="false">E19*$B$6+F19*$B$7+G19*$B$8+H19*$B$9+I19*$B$10</f>
        <v>2.5</v>
      </c>
      <c r="K19" s="6" t="s">
        <v>50</v>
      </c>
      <c r="L19" s="6" t="s">
        <v>46</v>
      </c>
      <c r="M19" s="6" t="s">
        <v>51</v>
      </c>
      <c r="N19" s="6" t="s">
        <v>52</v>
      </c>
    </row>
    <row r="20" customFormat="false" ht="48" hidden="false" customHeight="true" outlineLevel="0" collapsed="false">
      <c r="A20" s="12" t="s">
        <v>53</v>
      </c>
      <c r="B20" s="13" t="n">
        <v>1</v>
      </c>
      <c r="C20" s="6" t="s">
        <v>34</v>
      </c>
      <c r="D20" s="6" t="s">
        <v>35</v>
      </c>
      <c r="E20" s="14" t="n">
        <v>3</v>
      </c>
      <c r="F20" s="14" t="n">
        <v>3</v>
      </c>
      <c r="G20" s="14" t="n">
        <v>2</v>
      </c>
      <c r="H20" s="14" t="n">
        <v>3</v>
      </c>
      <c r="I20" s="14" t="n">
        <v>2</v>
      </c>
      <c r="J20" s="15" t="n">
        <f aca="false">E20*$B$6+F20*$B$7+G20*$B$8+H20*$B$9+I20*$B$10</f>
        <v>2.65</v>
      </c>
      <c r="K20" s="6" t="s">
        <v>54</v>
      </c>
      <c r="L20" s="6" t="s">
        <v>46</v>
      </c>
      <c r="M20" s="6" t="s">
        <v>55</v>
      </c>
      <c r="N20" s="6" t="s">
        <v>56</v>
      </c>
    </row>
    <row r="21" customFormat="false" ht="48" hidden="false" customHeight="true" outlineLevel="0" collapsed="false">
      <c r="A21" s="12" t="s">
        <v>57</v>
      </c>
      <c r="B21" s="13" t="n">
        <v>1</v>
      </c>
      <c r="C21" s="6" t="s">
        <v>34</v>
      </c>
      <c r="D21" s="6" t="s">
        <v>35</v>
      </c>
      <c r="E21" s="14" t="n">
        <v>2</v>
      </c>
      <c r="F21" s="14" t="n">
        <v>3</v>
      </c>
      <c r="G21" s="14" t="n">
        <v>2</v>
      </c>
      <c r="H21" s="14" t="n">
        <v>2</v>
      </c>
      <c r="I21" s="14" t="n">
        <v>1</v>
      </c>
      <c r="J21" s="15" t="n">
        <f aca="false">E21*$B$6+F21*$B$7+G21*$B$8+H21*$B$9+I21*$B$10</f>
        <v>2.1</v>
      </c>
      <c r="K21" s="6" t="s">
        <v>58</v>
      </c>
      <c r="L21" s="6" t="s">
        <v>59</v>
      </c>
      <c r="M21" s="6" t="s">
        <v>60</v>
      </c>
      <c r="N21" s="6" t="s">
        <v>61</v>
      </c>
    </row>
    <row r="22" customFormat="false" ht="48" hidden="false" customHeight="true" outlineLevel="0" collapsed="false">
      <c r="A22" s="12" t="s">
        <v>62</v>
      </c>
      <c r="B22" s="16" t="n">
        <v>2</v>
      </c>
      <c r="C22" s="6" t="s">
        <v>34</v>
      </c>
      <c r="D22" s="6" t="s">
        <v>63</v>
      </c>
      <c r="E22" s="14" t="n">
        <v>3</v>
      </c>
      <c r="F22" s="14" t="n">
        <v>2</v>
      </c>
      <c r="G22" s="14" t="n">
        <v>2</v>
      </c>
      <c r="H22" s="14" t="n">
        <v>2</v>
      </c>
      <c r="I22" s="14" t="n">
        <v>1</v>
      </c>
      <c r="J22" s="15" t="n">
        <f aca="false">E22*$B$6+F22*$B$7+G22*$B$8+H22*$B$9+I22*$B$10</f>
        <v>2.05</v>
      </c>
      <c r="K22" s="6" t="s">
        <v>64</v>
      </c>
      <c r="L22" s="6" t="s">
        <v>65</v>
      </c>
      <c r="M22" s="6" t="s">
        <v>66</v>
      </c>
      <c r="N22" s="6" t="s">
        <v>67</v>
      </c>
    </row>
    <row r="23" customFormat="false" ht="48" hidden="false" customHeight="true" outlineLevel="0" collapsed="false">
      <c r="A23" s="12" t="s">
        <v>68</v>
      </c>
      <c r="B23" s="16" t="n">
        <v>2</v>
      </c>
      <c r="C23" s="6" t="s">
        <v>69</v>
      </c>
      <c r="D23" s="6" t="s">
        <v>70</v>
      </c>
      <c r="E23" s="14" t="n">
        <v>3</v>
      </c>
      <c r="F23" s="14" t="n">
        <v>1</v>
      </c>
      <c r="G23" s="14" t="n">
        <v>3</v>
      </c>
      <c r="H23" s="14" t="n">
        <v>2</v>
      </c>
      <c r="I23" s="14" t="n">
        <v>2</v>
      </c>
      <c r="J23" s="15" t="n">
        <f aca="false">E23*$B$6+F23*$B$7+G23*$B$8+H23*$B$9+I23*$B$10</f>
        <v>2.15</v>
      </c>
      <c r="K23" s="6" t="s">
        <v>71</v>
      </c>
      <c r="L23" s="6" t="s">
        <v>72</v>
      </c>
      <c r="M23" s="6" t="s">
        <v>73</v>
      </c>
      <c r="N23" s="6" t="s">
        <v>74</v>
      </c>
    </row>
    <row r="24" customFormat="false" ht="48" hidden="false" customHeight="true" outlineLevel="0" collapsed="false">
      <c r="A24" s="12" t="s">
        <v>75</v>
      </c>
      <c r="B24" s="16" t="n">
        <v>2</v>
      </c>
      <c r="C24" s="6" t="s">
        <v>76</v>
      </c>
      <c r="D24" s="6" t="s">
        <v>77</v>
      </c>
      <c r="E24" s="14" t="n">
        <v>3</v>
      </c>
      <c r="F24" s="14" t="n">
        <v>1</v>
      </c>
      <c r="G24" s="14" t="n">
        <v>3</v>
      </c>
      <c r="H24" s="14" t="n">
        <v>2</v>
      </c>
      <c r="I24" s="14" t="n">
        <v>2</v>
      </c>
      <c r="J24" s="15" t="n">
        <f aca="false">E24*$B$6+F24*$B$7+G24*$B$8+H24*$B$9+I24*$B$10</f>
        <v>2.15</v>
      </c>
      <c r="K24" s="6" t="s">
        <v>41</v>
      </c>
      <c r="L24" s="6" t="s">
        <v>78</v>
      </c>
      <c r="M24" s="6" t="s">
        <v>79</v>
      </c>
      <c r="N24" s="6" t="s">
        <v>80</v>
      </c>
    </row>
    <row r="25" customFormat="false" ht="48" hidden="false" customHeight="true" outlineLevel="0" collapsed="false">
      <c r="A25" s="12" t="s">
        <v>81</v>
      </c>
      <c r="B25" s="17" t="n">
        <v>3</v>
      </c>
      <c r="C25" s="6" t="s">
        <v>82</v>
      </c>
      <c r="D25" s="6" t="s">
        <v>35</v>
      </c>
      <c r="E25" s="14" t="n">
        <v>2</v>
      </c>
      <c r="F25" s="14" t="n">
        <v>2</v>
      </c>
      <c r="G25" s="14" t="n">
        <v>3</v>
      </c>
      <c r="H25" s="14" t="n">
        <v>1</v>
      </c>
      <c r="I25" s="14" t="n">
        <v>3</v>
      </c>
      <c r="J25" s="15" t="n">
        <f aca="false">E25*$B$6+F25*$B$7+G25*$B$8+H25*$B$9+I25*$B$10</f>
        <v>2.15</v>
      </c>
      <c r="K25" s="6" t="s">
        <v>83</v>
      </c>
      <c r="L25" s="6" t="s">
        <v>84</v>
      </c>
      <c r="M25" s="6" t="s">
        <v>85</v>
      </c>
      <c r="N25" s="6" t="s">
        <v>86</v>
      </c>
    </row>
    <row r="26" customFormat="false" ht="48" hidden="false" customHeight="true" outlineLevel="0" collapsed="false">
      <c r="A26" s="12" t="s">
        <v>87</v>
      </c>
      <c r="B26" s="17" t="n">
        <v>3</v>
      </c>
      <c r="C26" s="6" t="s">
        <v>82</v>
      </c>
      <c r="D26" s="6" t="s">
        <v>88</v>
      </c>
      <c r="E26" s="14" t="n">
        <v>3</v>
      </c>
      <c r="F26" s="14" t="n">
        <v>1</v>
      </c>
      <c r="G26" s="14" t="n">
        <v>3</v>
      </c>
      <c r="H26" s="14" t="n">
        <v>1</v>
      </c>
      <c r="I26" s="14" t="n">
        <v>3</v>
      </c>
      <c r="J26" s="15" t="n">
        <f aca="false">E26*$B$6+F26*$B$7+G26*$B$8+H26*$B$9+I26*$B$10</f>
        <v>2.1</v>
      </c>
      <c r="K26" s="6" t="s">
        <v>89</v>
      </c>
      <c r="L26" s="6" t="s">
        <v>90</v>
      </c>
      <c r="M26" s="6" t="s">
        <v>91</v>
      </c>
      <c r="N26" s="6" t="s">
        <v>92</v>
      </c>
    </row>
    <row r="27" customFormat="false" ht="48" hidden="false" customHeight="true" outlineLevel="0" collapsed="false">
      <c r="A27" s="12" t="s">
        <v>93</v>
      </c>
      <c r="B27" s="17" t="n">
        <v>3</v>
      </c>
      <c r="C27" s="6" t="s">
        <v>94</v>
      </c>
      <c r="D27" s="6" t="s">
        <v>95</v>
      </c>
      <c r="E27" s="14" t="n">
        <v>2</v>
      </c>
      <c r="F27" s="14" t="n">
        <v>2</v>
      </c>
      <c r="G27" s="14" t="n">
        <v>2</v>
      </c>
      <c r="H27" s="14" t="n">
        <v>2</v>
      </c>
      <c r="I27" s="14" t="n">
        <v>3</v>
      </c>
      <c r="J27" s="15" t="n">
        <f aca="false">E27*$B$6+F27*$B$7+G27*$B$8+H27*$B$9+I27*$B$10</f>
        <v>2.15</v>
      </c>
      <c r="K27" s="6" t="s">
        <v>96</v>
      </c>
      <c r="L27" s="6" t="s">
        <v>97</v>
      </c>
      <c r="M27" s="6" t="s">
        <v>98</v>
      </c>
      <c r="N27" s="6" t="s">
        <v>99</v>
      </c>
    </row>
    <row r="28" customFormat="false" ht="48" hidden="false" customHeight="true" outlineLevel="0" collapsed="false">
      <c r="A28" s="12" t="s">
        <v>100</v>
      </c>
      <c r="B28" s="18" t="n">
        <v>4</v>
      </c>
      <c r="C28" s="6" t="s">
        <v>34</v>
      </c>
      <c r="D28" s="6" t="s">
        <v>101</v>
      </c>
      <c r="E28" s="14" t="n">
        <v>3</v>
      </c>
      <c r="F28" s="14" t="n">
        <v>3</v>
      </c>
      <c r="G28" s="14" t="n">
        <v>1</v>
      </c>
      <c r="H28" s="14" t="n">
        <v>2</v>
      </c>
      <c r="I28" s="14" t="n">
        <v>1</v>
      </c>
      <c r="J28" s="15" t="n">
        <f aca="false">E28*$B$6+F28*$B$7+G28*$B$8+H28*$B$9+I28*$B$10</f>
        <v>2.1</v>
      </c>
      <c r="K28" s="6" t="s">
        <v>102</v>
      </c>
      <c r="L28" s="6" t="s">
        <v>103</v>
      </c>
      <c r="M28" s="6" t="s">
        <v>104</v>
      </c>
      <c r="N28" s="6" t="s">
        <v>105</v>
      </c>
    </row>
    <row r="29" customFormat="false" ht="48" hidden="false" customHeight="true" outlineLevel="0" collapsed="false">
      <c r="A29" s="12" t="s">
        <v>106</v>
      </c>
      <c r="B29" s="18" t="n">
        <v>4</v>
      </c>
      <c r="C29" s="6" t="s">
        <v>34</v>
      </c>
      <c r="D29" s="6" t="s">
        <v>107</v>
      </c>
      <c r="E29" s="14" t="n">
        <v>3</v>
      </c>
      <c r="F29" s="14" t="n">
        <v>3</v>
      </c>
      <c r="G29" s="14" t="n">
        <v>1</v>
      </c>
      <c r="H29" s="14" t="n">
        <v>3</v>
      </c>
      <c r="I29" s="14" t="n">
        <v>1</v>
      </c>
      <c r="J29" s="15" t="n">
        <f aca="false">E29*$B$6+F29*$B$7+G29*$B$8+H29*$B$9+I29*$B$10</f>
        <v>2.3</v>
      </c>
      <c r="K29" s="6" t="s">
        <v>108</v>
      </c>
      <c r="L29" s="6" t="s">
        <v>37</v>
      </c>
      <c r="M29" s="6" t="s">
        <v>109</v>
      </c>
      <c r="N29" s="6" t="s">
        <v>110</v>
      </c>
    </row>
    <row r="30" customFormat="false" ht="48" hidden="false" customHeight="true" outlineLevel="0" collapsed="false">
      <c r="A30" s="12" t="s">
        <v>111</v>
      </c>
      <c r="B30" s="18" t="n">
        <v>4</v>
      </c>
      <c r="C30" s="6" t="s">
        <v>34</v>
      </c>
      <c r="D30" s="6" t="s">
        <v>112</v>
      </c>
      <c r="E30" s="14" t="n">
        <v>2</v>
      </c>
      <c r="F30" s="14" t="n">
        <v>2</v>
      </c>
      <c r="G30" s="14" t="n">
        <v>1</v>
      </c>
      <c r="H30" s="14" t="n">
        <v>2</v>
      </c>
      <c r="I30" s="14" t="n">
        <v>1</v>
      </c>
      <c r="J30" s="15" t="n">
        <f aca="false">E30*$B$6+F30*$B$7+G30*$B$8+H30*$B$9+I30*$B$10</f>
        <v>1.65</v>
      </c>
      <c r="K30" s="6" t="s">
        <v>113</v>
      </c>
      <c r="L30" s="6" t="s">
        <v>97</v>
      </c>
      <c r="M30" s="6" t="s">
        <v>114</v>
      </c>
      <c r="N30" s="6" t="s">
        <v>115</v>
      </c>
    </row>
    <row r="31" customFormat="false" ht="48" hidden="false" customHeight="true" outlineLevel="0" collapsed="false">
      <c r="A31" s="12" t="s">
        <v>116</v>
      </c>
      <c r="B31" s="19" t="n">
        <v>5</v>
      </c>
      <c r="C31" s="6" t="s">
        <v>34</v>
      </c>
      <c r="D31" s="6" t="s">
        <v>117</v>
      </c>
      <c r="E31" s="14" t="n">
        <v>3</v>
      </c>
      <c r="F31" s="14" t="n">
        <v>3</v>
      </c>
      <c r="G31" s="14" t="n">
        <v>2</v>
      </c>
      <c r="H31" s="14" t="n">
        <v>2</v>
      </c>
      <c r="I31" s="14" t="n">
        <v>1</v>
      </c>
      <c r="J31" s="15" t="n">
        <f aca="false">E31*$B$6+F31*$B$7+G31*$B$8+H31*$B$9+I31*$B$10</f>
        <v>2.3</v>
      </c>
      <c r="K31" s="6" t="s">
        <v>41</v>
      </c>
      <c r="L31" s="6" t="s">
        <v>118</v>
      </c>
      <c r="M31" s="6" t="s">
        <v>119</v>
      </c>
      <c r="N31" s="6" t="s">
        <v>120</v>
      </c>
    </row>
    <row r="32" customFormat="false" ht="48" hidden="false" customHeight="true" outlineLevel="0" collapsed="false">
      <c r="A32" s="12" t="s">
        <v>121</v>
      </c>
      <c r="B32" s="19" t="n">
        <v>5</v>
      </c>
      <c r="C32" s="6" t="s">
        <v>34</v>
      </c>
      <c r="D32" s="6" t="s">
        <v>122</v>
      </c>
      <c r="E32" s="14" t="n">
        <v>2</v>
      </c>
      <c r="F32" s="14" t="n">
        <v>3</v>
      </c>
      <c r="G32" s="14" t="n">
        <v>2</v>
      </c>
      <c r="H32" s="14" t="n">
        <v>2</v>
      </c>
      <c r="I32" s="14" t="n">
        <v>1</v>
      </c>
      <c r="J32" s="15" t="n">
        <f aca="false">E32*$B$6+F32*$B$7+G32*$B$8+H32*$B$9+I32*$B$10</f>
        <v>2.1</v>
      </c>
      <c r="K32" s="6" t="s">
        <v>41</v>
      </c>
      <c r="L32" s="6" t="s">
        <v>118</v>
      </c>
      <c r="M32" s="6" t="s">
        <v>123</v>
      </c>
      <c r="N32" s="6" t="s">
        <v>124</v>
      </c>
    </row>
    <row r="33" customFormat="false" ht="48" hidden="false" customHeight="true" outlineLevel="0" collapsed="false">
      <c r="A33" s="12" t="s">
        <v>125</v>
      </c>
      <c r="B33" s="19" t="n">
        <v>5</v>
      </c>
      <c r="C33" s="6" t="s">
        <v>34</v>
      </c>
      <c r="D33" s="6" t="s">
        <v>126</v>
      </c>
      <c r="E33" s="14" t="n">
        <v>2</v>
      </c>
      <c r="F33" s="14" t="n">
        <v>2</v>
      </c>
      <c r="G33" s="14" t="n">
        <v>2</v>
      </c>
      <c r="H33" s="14" t="n">
        <v>2</v>
      </c>
      <c r="I33" s="14" t="n">
        <v>1</v>
      </c>
      <c r="J33" s="15" t="n">
        <f aca="false">E33*$B$6+F33*$B$7+G33*$B$8+H33*$B$9+I33*$B$10</f>
        <v>1.85</v>
      </c>
      <c r="K33" s="6" t="s">
        <v>127</v>
      </c>
      <c r="L33" s="6" t="s">
        <v>118</v>
      </c>
      <c r="M33" s="6" t="s">
        <v>128</v>
      </c>
      <c r="N33" s="6" t="s">
        <v>129</v>
      </c>
    </row>
    <row r="34" customFormat="false" ht="48" hidden="false" customHeight="true" outlineLevel="0" collapsed="false">
      <c r="A34" s="12" t="s">
        <v>130</v>
      </c>
      <c r="B34" s="19" t="n">
        <v>5</v>
      </c>
      <c r="C34" s="6" t="s">
        <v>34</v>
      </c>
      <c r="D34" s="6" t="s">
        <v>122</v>
      </c>
      <c r="E34" s="14" t="n">
        <v>2</v>
      </c>
      <c r="F34" s="14" t="n">
        <v>2</v>
      </c>
      <c r="G34" s="14" t="n">
        <v>2</v>
      </c>
      <c r="H34" s="14" t="n">
        <v>2</v>
      </c>
      <c r="I34" s="14" t="n">
        <v>1</v>
      </c>
      <c r="J34" s="15" t="n">
        <f aca="false">E34*$B$6+F34*$B$7+G34*$B$8+H34*$B$9+I34*$B$10</f>
        <v>1.85</v>
      </c>
      <c r="K34" s="6" t="s">
        <v>131</v>
      </c>
      <c r="L34" s="6" t="s">
        <v>118</v>
      </c>
      <c r="M34" s="6" t="s">
        <v>122</v>
      </c>
      <c r="N34" s="6" t="s">
        <v>132</v>
      </c>
    </row>
    <row r="35" customFormat="false" ht="48" hidden="false" customHeight="true" outlineLevel="0" collapsed="false">
      <c r="A35" s="12" t="s">
        <v>133</v>
      </c>
      <c r="B35" s="19" t="n">
        <v>5</v>
      </c>
      <c r="C35" s="6" t="s">
        <v>34</v>
      </c>
      <c r="D35" s="6" t="s">
        <v>134</v>
      </c>
      <c r="E35" s="14" t="n">
        <v>2</v>
      </c>
      <c r="F35" s="14" t="n">
        <v>2</v>
      </c>
      <c r="G35" s="14" t="n">
        <v>2</v>
      </c>
      <c r="H35" s="14" t="n">
        <v>2</v>
      </c>
      <c r="I35" s="14" t="n">
        <v>1</v>
      </c>
      <c r="J35" s="15" t="n">
        <f aca="false">E35*$B$6+F35*$B$7+G35*$B$8+H35*$B$9+I35*$B$10</f>
        <v>1.85</v>
      </c>
      <c r="K35" s="6" t="s">
        <v>135</v>
      </c>
      <c r="L35" s="6" t="s">
        <v>136</v>
      </c>
      <c r="M35" s="6" t="s">
        <v>137</v>
      </c>
      <c r="N35" s="6" t="s">
        <v>138</v>
      </c>
    </row>
  </sheetData>
  <mergeCells count="11">
    <mergeCell ref="A1:N1"/>
    <mergeCell ref="A2:N2"/>
    <mergeCell ref="A4:N4"/>
    <mergeCell ref="C5:N5"/>
    <mergeCell ref="C6:N6"/>
    <mergeCell ref="C7:N7"/>
    <mergeCell ref="C8:N8"/>
    <mergeCell ref="C9:N9"/>
    <mergeCell ref="C10:N10"/>
    <mergeCell ref="C11:N11"/>
    <mergeCell ref="A13:N13"/>
  </mergeCells>
  <conditionalFormatting sqref="J16:J35">
    <cfRule type="colorScale" priority="2">
      <colorScale>
        <cfvo type="num" val="1"/>
        <cfvo type="num" val="2"/>
        <cfvo type="num" val="3"/>
        <color rgb="FFF87171"/>
        <color rgb="FFFDE68A"/>
        <color rgb="FF6EE7B7"/>
      </colorScale>
    </cfRule>
  </conditionalFormatting>
  <conditionalFormatting sqref="E16:E35">
    <cfRule type="colorScale" priority="3">
      <colorScale>
        <cfvo type="num" val="1"/>
        <cfvo type="num" val="2"/>
        <cfvo type="num" val="3"/>
        <color rgb="FFFEE2E2"/>
        <color rgb="FFFEF3C7"/>
        <color rgb="FFD1FAE5"/>
      </colorScale>
    </cfRule>
  </conditionalFormatting>
  <conditionalFormatting sqref="F16:F35">
    <cfRule type="colorScale" priority="4">
      <colorScale>
        <cfvo type="num" val="1"/>
        <cfvo type="num" val="2"/>
        <cfvo type="num" val="3"/>
        <color rgb="FFFEE2E2"/>
        <color rgb="FFFEF3C7"/>
        <color rgb="FFD1FAE5"/>
      </colorScale>
    </cfRule>
  </conditionalFormatting>
  <conditionalFormatting sqref="G16:G35">
    <cfRule type="colorScale" priority="5">
      <colorScale>
        <cfvo type="num" val="1"/>
        <cfvo type="num" val="2"/>
        <cfvo type="num" val="3"/>
        <color rgb="FFFEE2E2"/>
        <color rgb="FFFEF3C7"/>
        <color rgb="FFD1FAE5"/>
      </colorScale>
    </cfRule>
  </conditionalFormatting>
  <conditionalFormatting sqref="H16:H35">
    <cfRule type="colorScale" priority="6">
      <colorScale>
        <cfvo type="num" val="1"/>
        <cfvo type="num" val="2"/>
        <cfvo type="num" val="3"/>
        <color rgb="FFFEE2E2"/>
        <color rgb="FFFEF3C7"/>
        <color rgb="FFD1FAE5"/>
      </colorScale>
    </cfRule>
  </conditionalFormatting>
  <conditionalFormatting sqref="I16:I35">
    <cfRule type="colorScale" priority="7">
      <colorScale>
        <cfvo type="num" val="1"/>
        <cfvo type="num" val="2"/>
        <cfvo type="num" val="3"/>
        <color rgb="FFFEE2E2"/>
        <color rgb="FFFEF3C7"/>
        <color rgb="FFD1FAE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20" t="s">
        <v>139</v>
      </c>
      <c r="B1" s="20"/>
    </row>
    <row r="3" customFormat="false" ht="48" hidden="false" customHeight="true" outlineLevel="0" collapsed="false">
      <c r="A3" s="21" t="s">
        <v>140</v>
      </c>
      <c r="B3" s="22" t="s">
        <v>141</v>
      </c>
    </row>
    <row r="5" customFormat="false" ht="48" hidden="false" customHeight="true" outlineLevel="0" collapsed="false">
      <c r="A5" s="21" t="s">
        <v>6</v>
      </c>
      <c r="B5" s="22" t="s">
        <v>142</v>
      </c>
    </row>
    <row r="7" customFormat="false" ht="48" hidden="false" customHeight="true" outlineLevel="0" collapsed="false">
      <c r="A7" s="21" t="s">
        <v>8</v>
      </c>
      <c r="B7" s="22" t="s">
        <v>143</v>
      </c>
    </row>
    <row r="9" customFormat="false" ht="48" hidden="false" customHeight="true" outlineLevel="0" collapsed="false">
      <c r="A9" s="21" t="s">
        <v>10</v>
      </c>
      <c r="B9" s="22" t="s">
        <v>144</v>
      </c>
    </row>
    <row r="11" customFormat="false" ht="48" hidden="false" customHeight="true" outlineLevel="0" collapsed="false">
      <c r="A11" s="21" t="s">
        <v>12</v>
      </c>
      <c r="B11" s="22" t="s">
        <v>145</v>
      </c>
    </row>
    <row r="13" customFormat="false" ht="48" hidden="false" customHeight="true" outlineLevel="0" collapsed="false">
      <c r="A13" s="21" t="s">
        <v>14</v>
      </c>
      <c r="B13" s="22" t="s">
        <v>146</v>
      </c>
    </row>
    <row r="15" customFormat="false" ht="48" hidden="false" customHeight="true" outlineLevel="0" collapsed="false">
      <c r="A15" s="21" t="s">
        <v>147</v>
      </c>
      <c r="B15" s="22" t="s">
        <v>148</v>
      </c>
    </row>
    <row r="17" customFormat="false" ht="48" hidden="false" customHeight="true" outlineLevel="0" collapsed="false">
      <c r="A17" s="21" t="s">
        <v>149</v>
      </c>
      <c r="B17" s="22" t="s">
        <v>150</v>
      </c>
    </row>
    <row r="19" customFormat="false" ht="48" hidden="false" customHeight="true" outlineLevel="0" collapsed="false">
      <c r="A19" s="21" t="s">
        <v>151</v>
      </c>
      <c r="B19" s="22" t="s">
        <v>152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2026-05-04T22:15:04Z</dcterms:created>
  <dc:creator>openpyxl</dc:creator>
  <dc:description/>
  <dc:language>en-US</dc:language>
  <cp:lastModifiedBy/>
  <dcterms:modified xsi:type="dcterms:W3CDTF">2026-05-04T22:15:05Z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