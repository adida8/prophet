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ma" sheetId="1" state="visible" r:id="rId3"/>
    <sheet name="Matches" sheetId="2" state="visible" r:id="rId4"/>
    <sheet name="Blurbs" sheetId="3" state="visible" r:id="rId5"/>
    <sheet name="Open ques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<sst xmlns="http://schemas.openxmlformats.org/spreadsheetml/2006/main" count="1380" uniqueCount="709">
  <si>
    <t xml:space="preserve">Engine schema — data contract for the Prophet recommendation engine</t>
  </si>
  <si>
    <t xml:space="preserve">Run state: T-38 fundamentals (2026-05-03). Late-binding fields (weather, injuries, confirmed XI) intentionally not populated — they enter only inside the final ~5 days. Colour key: green = stable input, yellow = late-binding (held back), peach = model output, blue = market display layer.</t>
  </si>
  <si>
    <t xml:space="preserve">Field</t>
  </si>
  <si>
    <t xml:space="preserve">Type</t>
  </si>
  <si>
    <t xml:space="preserve">Source</t>
  </si>
  <si>
    <t xml:space="preserve">Binding</t>
  </si>
  <si>
    <t xml:space="preserve">Required</t>
  </si>
  <si>
    <t xml:space="preserve">Layer</t>
  </si>
  <si>
    <t xml:space="preserve">Description</t>
  </si>
  <si>
    <t xml:space="preserve">match_id</t>
  </si>
  <si>
    <t xml:space="preserve">string</t>
  </si>
  <si>
    <t xml:space="preserve">Internal (WC26-NNN format)</t>
  </si>
  <si>
    <t xml:space="preserve">stable</t>
  </si>
  <si>
    <t xml:space="preserve">Y</t>
  </si>
  <si>
    <t xml:space="preserve">metadata</t>
  </si>
  <si>
    <t xml:space="preserve">Engine join key.</t>
  </si>
  <si>
    <t xml:space="preserve">match_number</t>
  </si>
  <si>
    <t xml:space="preserve">int</t>
  </si>
  <si>
    <t xml:space="preserve">FIFA fixture list</t>
  </si>
  <si>
    <t xml:space="preserve">Official 1-72.</t>
  </si>
  <si>
    <t xml:space="preserve">kickoff_utc</t>
  </si>
  <si>
    <t xml:space="preserve">datetime</t>
  </si>
  <si>
    <t xml:space="preserve">FIFA + tz lookup</t>
  </si>
  <si>
    <t xml:space="preserve">ISO 8601 UTC.</t>
  </si>
  <si>
    <t xml:space="preserve">group</t>
  </si>
  <si>
    <t xml:space="preserve">FIFA</t>
  </si>
  <si>
    <t xml:space="preserve">A through L.</t>
  </si>
  <si>
    <t xml:space="preserve">venue_city</t>
  </si>
  <si>
    <t xml:space="preserve">16 host cities.</t>
  </si>
  <si>
    <t xml:space="preserve">venue_stadium</t>
  </si>
  <si>
    <t xml:space="preserve">—</t>
  </si>
  <si>
    <t xml:space="preserve">venue_country</t>
  </si>
  <si>
    <t xml:space="preserve">Static lookup</t>
  </si>
  <si>
    <t xml:space="preserve">USA / MEX / CAN.</t>
  </si>
  <si>
    <t xml:space="preserve">venue_altitude_m</t>
  </si>
  <si>
    <t xml:space="preserve">Material above 1500m.</t>
  </si>
  <si>
    <t xml:space="preserve">home_team</t>
  </si>
  <si>
    <t xml:space="preserve">Fixture team1, not necessarily host.</t>
  </si>
  <si>
    <t xml:space="preserve">away_team</t>
  </si>
  <si>
    <t xml:space="preserve">Fixture team2.</t>
  </si>
  <si>
    <t xml:space="preserve">fifa_rank_home</t>
  </si>
  <si>
    <t xml:space="preserve">FIFA monthly</t>
  </si>
  <si>
    <t xml:space="preserve">input</t>
  </si>
  <si>
    <t xml:space="preserve">Refresh monthly.</t>
  </si>
  <si>
    <t xml:space="preserve">fifa_rank_away</t>
  </si>
  <si>
    <t xml:space="preserve">elo_home</t>
  </si>
  <si>
    <t xml:space="preserve">Wikipedia data module</t>
  </si>
  <si>
    <t xml:space="preserve">Refresh weekly during tournament.</t>
  </si>
  <si>
    <t xml:space="preserve">elo_away</t>
  </si>
  <si>
    <t xml:space="preserve">home_advantage_elo</t>
  </si>
  <si>
    <t xml:space="preserve">Computed (75 if real host, else 0)</t>
  </si>
  <si>
    <t xml:space="preserve">Only Mexico/USA/Canada in their own country.</t>
  </si>
  <si>
    <t xml:space="preserve">altitude_bonus_elo</t>
  </si>
  <si>
    <t xml:space="preserve">Computed from venue alt</t>
  </si>
  <si>
    <t xml:space="preserve">0 to ~15.</t>
  </si>
  <si>
    <t xml:space="preserve">weather_temp_c</t>
  </si>
  <si>
    <t xml:space="preserve">float</t>
  </si>
  <si>
    <t xml:space="preserve">OpenWeatherMap</t>
  </si>
  <si>
    <t xml:space="preserve">late-binding</t>
  </si>
  <si>
    <t xml:space="preserve">N</t>
  </si>
  <si>
    <t xml:space="preserve">T-5 onward only.</t>
  </si>
  <si>
    <t xml:space="preserve">weather_wind_kph</t>
  </si>
  <si>
    <t xml:space="preserve">Wind &gt; 25 kph compresses goals.</t>
  </si>
  <si>
    <t xml:space="preserve">injuries_home</t>
  </si>
  <si>
    <t xml:space="preserve">json</t>
  </si>
  <si>
    <t xml:space="preserve">Manual ops or scrape</t>
  </si>
  <si>
    <t xml:space="preserve">T-3 onward.</t>
  </si>
  <si>
    <t xml:space="preserve">injuries_away</t>
  </si>
  <si>
    <t xml:space="preserve">confirmed_xi_home</t>
  </si>
  <si>
    <t xml:space="preserve">Federation site at T-1h</t>
  </si>
  <si>
    <t xml:space="preserve">Final refresh trigger.</t>
  </si>
  <si>
    <t xml:space="preserve">confirmed_xi_away</t>
  </si>
  <si>
    <t xml:space="preserve">p_home</t>
  </si>
  <si>
    <t xml:space="preserve">Engine</t>
  </si>
  <si>
    <t xml:space="preserve">output</t>
  </si>
  <si>
    <t xml:space="preserve">Calibrated probability, 0-1.</t>
  </si>
  <si>
    <t xml:space="preserve">p_draw</t>
  </si>
  <si>
    <t xml:space="preserve">p_away</t>
  </si>
  <si>
    <t xml:space="preserve">expected_goals_home</t>
  </si>
  <si>
    <t xml:space="preserve">expected_goals_away</t>
  </si>
  <si>
    <t xml:space="preserve">confidence_band</t>
  </si>
  <si>
    <t xml:space="preserve">enum</t>
  </si>
  <si>
    <t xml:space="preserve">low/mid/high. Wider when sample thin.</t>
  </si>
  <si>
    <t xml:space="preserve">match_title</t>
  </si>
  <si>
    <t xml:space="preserve">Computed: "Home v Away · {hook}"</t>
  </si>
  <si>
    <t xml:space="preserve">Public-facing card title. Format: TeamA v TeamB · 3-7 word hook.</t>
  </si>
  <si>
    <t xml:space="preserve">hook</t>
  </si>
  <si>
    <t xml:space="preserve">Claude Haiku via title-prompt</t>
  </si>
  <si>
    <t xml:space="preserve">3-7 word editorial tag. Picks one most distinctive angle.</t>
  </si>
  <si>
    <t xml:space="preserve">short_summary</t>
  </si>
  <si>
    <t xml:space="preserve">Claude Haiku via summary-prompt</t>
  </si>
  <si>
    <t xml:space="preserve">1-2 sentence card teaser. NO probabilities (rendered separately by UI).</t>
  </si>
  <si>
    <t xml:space="preserve">full_blurb</t>
  </si>
  <si>
    <t xml:space="preserve">Claude Haiku via explainer-prompt</t>
  </si>
  <si>
    <t xml:space="preserve">60-90 words, Prophet voice, includes the model probability and drivers.</t>
  </si>
  <si>
    <t xml:space="preserve">run_t_minus_days</t>
  </si>
  <si>
    <t xml:space="preserve">Days before kickoff at run time.</t>
  </si>
  <si>
    <t xml:space="preserve">market_polymarket_p_home</t>
  </si>
  <si>
    <t xml:space="preserve">Polymarket Gamma API</t>
  </si>
  <si>
    <t xml:space="preserve">live</t>
  </si>
  <si>
    <t xml:space="preserve">display</t>
  </si>
  <si>
    <t xml:space="preserve">Devigged. Pulled at runtime, never an input.</t>
  </si>
  <si>
    <t xml:space="preserve">market_polymarket_p_draw</t>
  </si>
  <si>
    <t xml:space="preserve">market_polymarket_p_away</t>
  </si>
  <si>
    <t xml:space="preserve">market_kalshi_p_home</t>
  </si>
  <si>
    <t xml:space="preserve">Kalshi Events API</t>
  </si>
  <si>
    <t xml:space="preserve">Devigged.</t>
  </si>
  <si>
    <t xml:space="preserve">market_kalshi_p_draw</t>
  </si>
  <si>
    <t xml:space="preserve">market_kalshi_p_away</t>
  </si>
  <si>
    <t xml:space="preserve">All 72 group-stage matches — engine output (T-38 fundamentals run, 2026-05-03)</t>
  </si>
  <si>
    <t xml:space="preserve">Late-binding fields (weather, injuries, confirmed XI) deliberately empty. Market columns will populate once Faktor wires the Polymarket/Kalshi pull.</t>
  </si>
  <si>
    <t xml:space="preserve">m#</t>
  </si>
  <si>
    <t xml:space="preserve">date</t>
  </si>
  <si>
    <t xml:space="preserve">city</t>
  </si>
  <si>
    <t xml:space="preserve">alt_m</t>
  </si>
  <si>
    <t xml:space="preserve">home</t>
  </si>
  <si>
    <t xml:space="preserve">away</t>
  </si>
  <si>
    <t xml:space="preserve">rk_h</t>
  </si>
  <si>
    <t xml:space="preserve">rk_a</t>
  </si>
  <si>
    <t xml:space="preserve">elo_h</t>
  </si>
  <si>
    <t xml:space="preserve">elo_a</t>
  </si>
  <si>
    <t xml:space="preserve">ha_elo</t>
  </si>
  <si>
    <t xml:space="preserve">alt_elo</t>
  </si>
  <si>
    <t xml:space="preserve">xg_h</t>
  </si>
  <si>
    <t xml:space="preserve">xg_a</t>
  </si>
  <si>
    <t xml:space="preserve">conf</t>
  </si>
  <si>
    <t xml:space="preserve">t-days</t>
  </si>
  <si>
    <t xml:space="preserve">mkt_pm_home</t>
  </si>
  <si>
    <t xml:space="preserve">mkt_pm_draw</t>
  </si>
  <si>
    <t xml:space="preserve">mkt_pm_away</t>
  </si>
  <si>
    <t xml:space="preserve">gap_pp</t>
  </si>
  <si>
    <t xml:space="preserve">WC26-001</t>
  </si>
  <si>
    <t xml:space="preserve">2026-06-11</t>
  </si>
  <si>
    <t xml:space="preserve">A</t>
  </si>
  <si>
    <t xml:space="preserve">Mexico City</t>
  </si>
  <si>
    <t xml:space="preserve">Mexico</t>
  </si>
  <si>
    <t xml:space="preserve">South Africa</t>
  </si>
  <si>
    <t xml:space="preserve">mid</t>
  </si>
  <si>
    <t xml:space="preserve">WC26-002</t>
  </si>
  <si>
    <t xml:space="preserve">Zapopan</t>
  </si>
  <si>
    <t xml:space="preserve">South Korea</t>
  </si>
  <si>
    <t xml:space="preserve">Czech Republic</t>
  </si>
  <si>
    <t xml:space="preserve">low</t>
  </si>
  <si>
    <t xml:space="preserve">WC26-003</t>
  </si>
  <si>
    <t xml:space="preserve">2026-06-12</t>
  </si>
  <si>
    <t xml:space="preserve">B</t>
  </si>
  <si>
    <t xml:space="preserve">Toronto</t>
  </si>
  <si>
    <t xml:space="preserve">Canada</t>
  </si>
  <si>
    <t xml:space="preserve">Bosnia and Herzegovina</t>
  </si>
  <si>
    <t xml:space="preserve">WC26-004</t>
  </si>
  <si>
    <t xml:space="preserve">D</t>
  </si>
  <si>
    <t xml:space="preserve">Inglewood</t>
  </si>
  <si>
    <t xml:space="preserve">United States</t>
  </si>
  <si>
    <t xml:space="preserve">Paraguay</t>
  </si>
  <si>
    <t xml:space="preserve">WC26-005</t>
  </si>
  <si>
    <t xml:space="preserve">2026-06-13</t>
  </si>
  <si>
    <t xml:space="preserve">C</t>
  </si>
  <si>
    <t xml:space="preserve">Foxborough</t>
  </si>
  <si>
    <t xml:space="preserve">Haiti</t>
  </si>
  <si>
    <t xml:space="preserve">Scotland</t>
  </si>
  <si>
    <t xml:space="preserve">WC26-006</t>
  </si>
  <si>
    <t xml:space="preserve">Vancouver</t>
  </si>
  <si>
    <t xml:space="preserve">Australia</t>
  </si>
  <si>
    <t xml:space="preserve">Turkey</t>
  </si>
  <si>
    <t xml:space="preserve">WC26-007</t>
  </si>
  <si>
    <t xml:space="preserve">East Rutherford</t>
  </si>
  <si>
    <t xml:space="preserve">Brazil</t>
  </si>
  <si>
    <t xml:space="preserve">Morocco</t>
  </si>
  <si>
    <t xml:space="preserve">WC26-008</t>
  </si>
  <si>
    <t xml:space="preserve">Santa Clara</t>
  </si>
  <si>
    <t xml:space="preserve">Qatar</t>
  </si>
  <si>
    <t xml:space="preserve">Switzerland</t>
  </si>
  <si>
    <t xml:space="preserve">WC26-009</t>
  </si>
  <si>
    <t xml:space="preserve">2026-06-14</t>
  </si>
  <si>
    <t xml:space="preserve">E</t>
  </si>
  <si>
    <t xml:space="preserve">Philadelphia</t>
  </si>
  <si>
    <t xml:space="preserve">Ivory Coast</t>
  </si>
  <si>
    <t xml:space="preserve">Ecuador</t>
  </si>
  <si>
    <t xml:space="preserve">WC26-010</t>
  </si>
  <si>
    <t xml:space="preserve">Houston</t>
  </si>
  <si>
    <t xml:space="preserve">Germany</t>
  </si>
  <si>
    <t xml:space="preserve">Curacao</t>
  </si>
  <si>
    <t xml:space="preserve">WC26-011</t>
  </si>
  <si>
    <t xml:space="preserve">F</t>
  </si>
  <si>
    <t xml:space="preserve">Arlington</t>
  </si>
  <si>
    <t xml:space="preserve">Netherlands</t>
  </si>
  <si>
    <t xml:space="preserve">Japan</t>
  </si>
  <si>
    <t xml:space="preserve">WC26-012</t>
  </si>
  <si>
    <t xml:space="preserve">Guadalupe</t>
  </si>
  <si>
    <t xml:space="preserve">Sweden</t>
  </si>
  <si>
    <t xml:space="preserve">Tunisia</t>
  </si>
  <si>
    <t xml:space="preserve">WC26-013</t>
  </si>
  <si>
    <t xml:space="preserve">2026-06-15</t>
  </si>
  <si>
    <t xml:space="preserve">H</t>
  </si>
  <si>
    <t xml:space="preserve">Miami Gardens</t>
  </si>
  <si>
    <t xml:space="preserve">Saudi Arabia</t>
  </si>
  <si>
    <t xml:space="preserve">Uruguay</t>
  </si>
  <si>
    <t xml:space="preserve">WC26-014</t>
  </si>
  <si>
    <t xml:space="preserve">Atlanta</t>
  </si>
  <si>
    <t xml:space="preserve">Spain</t>
  </si>
  <si>
    <t xml:space="preserve">Cape Verde</t>
  </si>
  <si>
    <t xml:space="preserve">WC26-015</t>
  </si>
  <si>
    <t xml:space="preserve">G</t>
  </si>
  <si>
    <t xml:space="preserve">Iran</t>
  </si>
  <si>
    <t xml:space="preserve">New Zealand</t>
  </si>
  <si>
    <t xml:space="preserve">WC26-016</t>
  </si>
  <si>
    <t xml:space="preserve">Seattle</t>
  </si>
  <si>
    <t xml:space="preserve">Belgium</t>
  </si>
  <si>
    <t xml:space="preserve">Egypt</t>
  </si>
  <si>
    <t xml:space="preserve">WC26-017</t>
  </si>
  <si>
    <t xml:space="preserve">2026-06-16</t>
  </si>
  <si>
    <t xml:space="preserve">I</t>
  </si>
  <si>
    <t xml:space="preserve">France</t>
  </si>
  <si>
    <t xml:space="preserve">Senegal</t>
  </si>
  <si>
    <t xml:space="preserve">WC26-018</t>
  </si>
  <si>
    <t xml:space="preserve">Iraq</t>
  </si>
  <si>
    <t xml:space="preserve">Norway</t>
  </si>
  <si>
    <t xml:space="preserve">WC26-019</t>
  </si>
  <si>
    <t xml:space="preserve">J</t>
  </si>
  <si>
    <t xml:space="preserve">Kansas City</t>
  </si>
  <si>
    <t xml:space="preserve">Argentina</t>
  </si>
  <si>
    <t xml:space="preserve">Algeria</t>
  </si>
  <si>
    <t xml:space="preserve">WC26-020</t>
  </si>
  <si>
    <t xml:space="preserve">Austria</t>
  </si>
  <si>
    <t xml:space="preserve">Jordan</t>
  </si>
  <si>
    <t xml:space="preserve">WC26-021</t>
  </si>
  <si>
    <t xml:space="preserve">2026-06-17</t>
  </si>
  <si>
    <t xml:space="preserve">L</t>
  </si>
  <si>
    <t xml:space="preserve">Ghana</t>
  </si>
  <si>
    <t xml:space="preserve">Panama</t>
  </si>
  <si>
    <t xml:space="preserve">WC26-022</t>
  </si>
  <si>
    <t xml:space="preserve">England</t>
  </si>
  <si>
    <t xml:space="preserve">Croatia</t>
  </si>
  <si>
    <t xml:space="preserve">WC26-023</t>
  </si>
  <si>
    <t xml:space="preserve">K</t>
  </si>
  <si>
    <t xml:space="preserve">Portugal</t>
  </si>
  <si>
    <t xml:space="preserve">DR Congo</t>
  </si>
  <si>
    <t xml:space="preserve">WC26-024</t>
  </si>
  <si>
    <t xml:space="preserve">Uzbekistan</t>
  </si>
  <si>
    <t xml:space="preserve">Colombia</t>
  </si>
  <si>
    <t xml:space="preserve">WC26-025</t>
  </si>
  <si>
    <t xml:space="preserve">2026-06-18</t>
  </si>
  <si>
    <t xml:space="preserve">WC26-026</t>
  </si>
  <si>
    <t xml:space="preserve">WC26-027</t>
  </si>
  <si>
    <t xml:space="preserve">WC26-028</t>
  </si>
  <si>
    <t xml:space="preserve">WC26-029</t>
  </si>
  <si>
    <t xml:space="preserve">2026-06-19</t>
  </si>
  <si>
    <t xml:space="preserve">WC26-030</t>
  </si>
  <si>
    <t xml:space="preserve">WC26-031</t>
  </si>
  <si>
    <t xml:space="preserve">WC26-032</t>
  </si>
  <si>
    <t xml:space="preserve">WC26-033</t>
  </si>
  <si>
    <t xml:space="preserve">2026-06-20</t>
  </si>
  <si>
    <t xml:space="preserve">WC26-034</t>
  </si>
  <si>
    <t xml:space="preserve">WC26-035</t>
  </si>
  <si>
    <t xml:space="preserve">WC26-036</t>
  </si>
  <si>
    <t xml:space="preserve">WC26-037</t>
  </si>
  <si>
    <t xml:space="preserve">2026-06-21</t>
  </si>
  <si>
    <t xml:space="preserve">WC26-038</t>
  </si>
  <si>
    <t xml:space="preserve">WC26-039</t>
  </si>
  <si>
    <t xml:space="preserve">WC26-040</t>
  </si>
  <si>
    <t xml:space="preserve">WC26-041</t>
  </si>
  <si>
    <t xml:space="preserve">2026-06-22</t>
  </si>
  <si>
    <t xml:space="preserve">WC26-042</t>
  </si>
  <si>
    <t xml:space="preserve">WC26-043</t>
  </si>
  <si>
    <t xml:space="preserve">WC26-044</t>
  </si>
  <si>
    <t xml:space="preserve">WC26-045</t>
  </si>
  <si>
    <t xml:space="preserve">2026-06-23</t>
  </si>
  <si>
    <t xml:space="preserve">WC26-046</t>
  </si>
  <si>
    <t xml:space="preserve">WC26-047</t>
  </si>
  <si>
    <t xml:space="preserve">WC26-048</t>
  </si>
  <si>
    <t xml:space="preserve">WC26-049</t>
  </si>
  <si>
    <t xml:space="preserve">2026-06-24</t>
  </si>
  <si>
    <t xml:space="preserve">WC26-050</t>
  </si>
  <si>
    <t xml:space="preserve">WC26-051</t>
  </si>
  <si>
    <t xml:space="preserve">WC26-052</t>
  </si>
  <si>
    <t xml:space="preserve">WC26-053</t>
  </si>
  <si>
    <t xml:space="preserve">WC26-054</t>
  </si>
  <si>
    <t xml:space="preserve">WC26-055</t>
  </si>
  <si>
    <t xml:space="preserve">2026-06-25</t>
  </si>
  <si>
    <t xml:space="preserve">WC26-056</t>
  </si>
  <si>
    <t xml:space="preserve">WC26-057</t>
  </si>
  <si>
    <t xml:space="preserve">WC26-058</t>
  </si>
  <si>
    <t xml:space="preserve">WC26-059</t>
  </si>
  <si>
    <t xml:space="preserve">WC26-060</t>
  </si>
  <si>
    <t xml:space="preserve">WC26-061</t>
  </si>
  <si>
    <t xml:space="preserve">2026-06-26</t>
  </si>
  <si>
    <t xml:space="preserve">WC26-062</t>
  </si>
  <si>
    <t xml:space="preserve">WC26-063</t>
  </si>
  <si>
    <t xml:space="preserve">WC26-064</t>
  </si>
  <si>
    <t xml:space="preserve">WC26-065</t>
  </si>
  <si>
    <t xml:space="preserve">WC26-066</t>
  </si>
  <si>
    <t xml:space="preserve">WC26-067</t>
  </si>
  <si>
    <t xml:space="preserve">2026-06-27</t>
  </si>
  <si>
    <t xml:space="preserve">WC26-068</t>
  </si>
  <si>
    <t xml:space="preserve">WC26-069</t>
  </si>
  <si>
    <t xml:space="preserve">WC26-070</t>
  </si>
  <si>
    <t xml:space="preserve">WC26-071</t>
  </si>
  <si>
    <t xml:space="preserve">WC26-072</t>
  </si>
  <si>
    <t xml:space="preserve">Editorial output per match — drivers, blurb, voice check</t>
  </si>
  <si>
    <t xml:space="preserve">Matches 1-10 are bespoke editorial. Matches 11-72 are templated programmatically — same shape, slot-filled from the feature vector. Voice rules: Prophet sentence case, no emoji, no gambling-promo language.</t>
  </si>
  <si>
    <t xml:space="preserve">matchup</t>
  </si>
  <si>
    <t xml:space="preserve">match_title (with hook)</t>
  </si>
  <si>
    <t xml:space="preserve">top drivers (T-38)</t>
  </si>
  <si>
    <t xml:space="preserve">held back until T-5</t>
  </si>
  <si>
    <t xml:space="preserve">full_blurb (Prophet voice)</t>
  </si>
  <si>
    <t xml:space="preserve">Mexico v South Africa
[bespoke]</t>
  </si>
  <si>
    <t xml:space="preserve">Mexico v South Africa · Sixteen years on</t>
  </si>
  <si>
    <t xml:space="preserve">Mexico open the World Cup at Azteca against the same opponent they drew with in the 2010 opener. Class on paper, an injury list in the squad.</t>
  </si>
  <si>
    <t xml:space="preserve">1. Class gap (46 FIFA places, 305 Elo points)
2. Estadio Azteca — host, full crowd, 2,240m altitude
3. Mexico's recent form (3W in last 5)
4. Opening-match host pressure typically -3 pp on host</t>
  </si>
  <si>
    <t xml:space="preserve">Mexico injuries (Malagón, Romo, Chávez, Huerta, Huescas; Giménez doubt); Mexico City weather; confirmed XI</t>
  </si>
  <si>
    <t xml:space="preserve">Mexico and South Africa open the World Cup in Mexico City on 11 June, sixteen years after they drew the same opening fixture in Johannesburg. The class gap is wide — Mexico sit 46 places higher in the FIFA ranking, 305 Elo points clear, and Azteca's altitude is a real edge. On fundamentals alone our model lands at 74% Mexico, 18% draw, 8% South Africa. Polymarket's price (about 62% Mexico devigged) is more cautious — that gap is the discount traders are already taking for Mexico's injuries. We'll know more closer to kickoff.</t>
  </si>
  <si>
    <t xml:space="preserve">South Korea v Czech Republic
[bespoke]</t>
  </si>
  <si>
    <t xml:space="preserve">South Korea v Czech Republic · Closer than the seeding suggests</t>
  </si>
  <si>
    <t xml:space="preserve">Korea favoured by the seeding, Czechia by the Elo. The gap is 53 points — much narrower than the FIFA ranking implies.</t>
  </si>
  <si>
    <t xml:space="preserve">1. Tight Elo gap (Korea 1784, Czechia 1731)
2. Czechia's pot-4 seeding flatters their actual playoff-route arrival
3. Estadio Akron, Zapopan — modest altitude bonus to the listed home side
4. Czechia's tournament rhythm a question after a long UEFA playoff route</t>
  </si>
  <si>
    <t xml:space="preserve">Czech squad availability post-playoff; Zapopan weather; confirmed XI</t>
  </si>
  <si>
    <t xml:space="preserve">Korea Republic and the Czech Republic meet in Zapopan on 11 June. Korea sit 22 places above Czechia in the FIFA ranking but only 53 Elo points clear — much closer than the seeding implies. Estadio Akron's modest altitude shifts the model a touch. Our model lands at 44% Korea, 25% draw, 31% Czechia. The narrower-than-it-looks gap reflects Czechia's underrated Elo despite the playoff route.</t>
  </si>
  <si>
    <t xml:space="preserve">Canada v Bosnia and Herzegovina
[bespoke]</t>
  </si>
  <si>
    <t xml:space="preserve">Canada v Bosnia and Herzegovina · Canada's home opener</t>
  </si>
  <si>
    <t xml:space="preserve">Canada start their home tournament at BMO Field against a Bosnia side fresh from a UEFA playoff route.</t>
  </si>
  <si>
    <t xml:space="preserve">1. Real class gap (235 Elo points before home advantage)
2. Canada at home in Toronto — +75 Elo
3. No altitude factor
4. Bosnia's playoff route confirmed late, squad rhythm in question</t>
  </si>
  <si>
    <t xml:space="preserve">Bosnia squad picture; Toronto June weather; confirmed XI</t>
  </si>
  <si>
    <t xml:space="preserve">Canada open their home World Cup against Bosnia at BMO Field. Canada are 27th in the FIFA ranking, Bosnia 71st, and once the home-crowd factor is added Canada are 310 effective Elo points stronger. Our model lands at 70% Canada, 18% draw, 12% Bosnia. The story to watch is whether Bosnia, fresh from a UEFA playoff, can settle their final XI fast enough to make a tighter game of it.</t>
  </si>
  <si>
    <t xml:space="preserve">United States v Paraguay
[bespoke]</t>
  </si>
  <si>
    <t xml:space="preserve">United States v Paraguay · The Elo shock</t>
  </si>
  <si>
    <t xml:space="preserve">USA at home — but Paraguay arrives with a higher Elo than the hosts. The numbers say a slight Paraguay edge, against the home-opener narrative.</t>
  </si>
  <si>
    <t xml:space="preserve">1. Paraguay's Elo (1833) is actually higher than the USA's (1747)
2. USA's home advantage at SoFi (+75 Elo) is doing all the work
3. Net effect: roughly even fixture
4. Paraguay's South American qualifying form has been sharper than USA's friendlies</t>
  </si>
  <si>
    <t xml:space="preserve">USA squad fitness; Inglewood June heat; confirmed XI</t>
  </si>
  <si>
    <t xml:space="preserve">The United States open at SoFi against a Paraguay side whose Elo (1833) is actually higher than the hosts' (1747). The FIFA ranking masks that — Paraguay are 39th — but Elo weights match outcomes more than reputation. The 75-point home-advantage edge essentially levels the fixture. Our model lands at 35% USA, 28% draw, 37% Paraguay — a slight Paraguay edge by the numbers. Far closer than the home-opener narrative suggests.</t>
  </si>
  <si>
    <t xml:space="preserve">Haiti v Scotland
[bespoke]</t>
  </si>
  <si>
    <t xml:space="preserve">Haiti v Scotland · Long absences meet</t>
  </si>
  <si>
    <t xml:space="preserve">Haiti's first World Cup since 1974, Scotland's first since 1998. Decades of absence collide in Foxborough.</t>
  </si>
  <si>
    <t xml:space="preserve">1. Scotland the much stronger side on Elo (248 points clear)
2. Neutral venue at Gillette Stadium, Foxborough
3. Haiti's first WC appearance in over fifty years
4. Scotland's first WC since 1998 — both sides have something to settle</t>
  </si>
  <si>
    <t xml:space="preserve">Squad availability; New England weather; confirmed XI</t>
  </si>
  <si>
    <t xml:space="preserve">Haiti and Scotland meet in Foxborough — Haiti's first World Cup since 1974, Scotland's first since 1998. Scotland are 248 Elo points stronger and sit 48 places above Haiti in the FIFA ranking. Both sides arrive with the weight of long absences. Our model lands at 15% Haiti, 22% draw, 63% Scotland. A live underdog story but the model is firm on the Scottish edge.</t>
  </si>
  <si>
    <t xml:space="preserve">Australia v Turkey
[bespoke]</t>
  </si>
  <si>
    <t xml:space="preserve">Australia v Turkey · Tighter than it looks</t>
  </si>
  <si>
    <t xml:space="preserve">Turkey rated stronger on Elo, Australia rated higher in FIFA's seeding. BC Place is neutral so the model leans Turkish.</t>
  </si>
  <si>
    <t xml:space="preserve">1. Turkey stronger on Elo (1880 vs 1774, 106-point gap)
2. Australia's pot-3 seeding is generous to their FIFA-ranking position
3. Neutral venue at BC Place, Vancouver
4. Turkey's UEFA-route confirmation late but squad already strong</t>
  </si>
  <si>
    <t xml:space="preserve">Squad picture both sides; Vancouver weather; confirmed XI</t>
  </si>
  <si>
    <t xml:space="preserve">Australia face Turkey in Vancouver — a tighter fixture than the FIFA ranking implies. Turkey sit at 1880 Elo against Australia's 1774, and BC Place is neutral so no home-crowd tilt. Our model lands at 26% Australia, 25% draw, 49% Turkey. Turkey are clear favourites but the draw probability is doing real work — if Australia score early they compress the model fast.</t>
  </si>
  <si>
    <t xml:space="preserve">Brazil v Morocco
[bespoke]</t>
  </si>
  <si>
    <t xml:space="preserve">Brazil v Morocco · 2022 ghosts</t>
  </si>
  <si>
    <t xml:space="preserve">Brazil meet a Morocco side whose 2022 semifinal run was no accident — built on a defensive shape that frustrates favourites.</t>
  </si>
  <si>
    <t xml:space="preserve">1. Brazil top-5 globally on Elo and FIFA
2. Morocco rated only 173 Elo points behind Brazil — closer than the FIFA gap suggests
3. MetLife Stadium, neutral venue, June heat and humidity
4. First fixture for both — managers usually conservative</t>
  </si>
  <si>
    <t xml:space="preserve">Vinícius/Rodrygo fitness; Hakimi/Ziyech availability; weather; confirmed XI</t>
  </si>
  <si>
    <t xml:space="preserve">Brazil and Morocco meet at MetLife on 13 June. Brazil are top-five favourites globally, but Morocco are the kind of opponent who flatter their FIFA ranking — only 173 Elo points behind, with the 2022 semifinal run as evidence the system can frustrate stronger sides. Our model lands at 57% Brazil, 22% draw, 21% Morocco. Opening fixtures of major tournaments tend to be cagey, and the draw probability reflects that.</t>
  </si>
  <si>
    <t xml:space="preserve">Qatar v Switzerland
[bespoke]</t>
  </si>
  <si>
    <t xml:space="preserve">Qatar v Switzerland · The clearest gap on the slate</t>
  </si>
  <si>
    <t xml:space="preserve">Switzerland are 470 Elo points clear of Qatar — the widest opening-matchday chasm. Qatar's 2022 home tournament showed structural limits against top-tier sides.</t>
  </si>
  <si>
    <t xml:space="preserve">1. Switzerland heavily favoured (470-point Elo gap)
2. Qatar's 2022 home tournament exposed structural limitations under top-tier opposition
3. Levi's Stadium, neutral venue, Bay Area mild climate
4. Swiss squad continuity from the EURO 2024 cycle</t>
  </si>
  <si>
    <t xml:space="preserve">Squads; weather; confirmed XI</t>
  </si>
  <si>
    <t xml:space="preserve">Qatar and Switzerland open Group B at Levi's. The Elo gap is wide — Switzerland at 1897, Qatar at 1427, a 470-point chasm — and Qatar's 2022 home tournament suggested limitations against top-tier opposition. Our model lands at 5% Qatar, 18% draw, 77% Switzerland. The numbers are emphatic, but the bigger gap usually means a lower draw rate, which our model honours.</t>
  </si>
  <si>
    <t xml:space="preserve">Ivory Coast v Ecuador
[bespoke]</t>
  </si>
  <si>
    <t xml:space="preserve">Ivory Coast v Ecuador · Underrated favourite</t>
  </si>
  <si>
    <t xml:space="preserve">Ecuador are the heavier name here, by some distance, despite the smaller profile vs Ivory Coast's AFCON pedigree.</t>
  </si>
  <si>
    <t xml:space="preserve">1. Ecuador notably stronger on Elo (296-point gap)
2. Ivory Coast post-AFCON 2023 momentum has cooled
3. Lincoln Financial Field, neutral venue
4. Both squads with European-league core</t>
  </si>
  <si>
    <t xml:space="preserve">Squad availability; Philadelphia weather; confirmed XI</t>
  </si>
  <si>
    <t xml:space="preserve">Ivory Coast face Ecuador in Philadelphia. Ecuador come in with the heavier credentials — 23rd in the world to Ivory Coast's 42nd, and 296 Elo points stronger. The neutral venue removes any tilt either way. Our model lands at 12% Ivory Coast, 22% draw, 66% Ecuador. The lopsided number reflects how far apart Elo has these sides; the editorial story is whether Ivory Coast's AFCON pedigree can compress that on the day.</t>
  </si>
  <si>
    <t xml:space="preserve">Germany v Curacao
[bespoke]</t>
  </si>
  <si>
    <t xml:space="preserve">Germany v Curacao · Debut day</t>
  </si>
  <si>
    <t xml:space="preserve">Curaçao's first-ever World Cup — against Germany in Houston heat. The numbers are stark; the question is whether the heat closes the gap.</t>
  </si>
  <si>
    <t xml:space="preserve">1. Germany top-10 globally vs Curacao a Caribbean debutant
2. Massive Elo gap (443 points)
3. NRG Stadium, Houston — June heat is the main complication for Germany
4. Curacao's first World Cup ever</t>
  </si>
  <si>
    <t xml:space="preserve">German squad fitness; Houston heat forecast; confirmed XI</t>
  </si>
  <si>
    <t xml:space="preserve">Germany and Curacao open Group E in Houston. Curacao's first World Cup is a landmark; Germany are top-ten globally and 443 Elo points stronger. The only real complication for Germany is Houston heat in mid-June. Our model lands at 76% Germany, 18% draw, 6% Curacao. The numbers are stark — every World Cup includes a memorable group-stage upset, and this is the kind of fixture where it would happen if it does.</t>
  </si>
  <si>
    <t xml:space="preserve">Netherlands v Japan
[template]</t>
  </si>
  <si>
    <t xml:space="preserve">Netherlands v Japan · A close-run thing</t>
  </si>
  <si>
    <t xml:space="preserve">Netherlands sit 11 places higher in the FIFA ranking and 80 Elo points clear at a neutral venue.</t>
  </si>
  <si>
    <t xml:space="preserve">1. Even matchup on Elo (80 points)
2. Neutral venue
3. Confidence: low (sample size, recency)</t>
  </si>
  <si>
    <t xml:space="preserve">Squad/injury picture; venue weather; confirmed XI</t>
  </si>
  <si>
    <t xml:space="preserve">Netherlands face Japan in Arlington on 14 June. This is a closer fixture than the FIFA ranking suggests — only 11 places between them, and the Elo gap is just 80 points. The venue at AT&amp;T Stadium is neutral. Our model lands at 46% Netherlands, 25% draw, 29% Japan.</t>
  </si>
  <si>
    <t xml:space="preserve">Sweden v Tunisia
[template]</t>
  </si>
  <si>
    <t xml:space="preserve">Sweden v Tunisia · Coin-flip territory</t>
  </si>
  <si>
    <t xml:space="preserve">Sweden and Tunisia are within 46 Elo points of each other — a tighter fixture than the seeding implies.</t>
  </si>
  <si>
    <t xml:space="preserve">1. Even matchup on Elo (46 points)
2. Neutral venue
3. Confidence: low (sample size, recency)</t>
  </si>
  <si>
    <t xml:space="preserve">Sweden face Tunisia in Guadalupe on 14 June. This is a closer fixture than the FIFA ranking suggests — only 3 places between them, and the Elo gap is just 46 points. The venue at Estadio BBVA is neutral. Our model lands at 41% Sweden, 28% draw, 31% Tunisia.</t>
  </si>
  <si>
    <t xml:space="preserve">Saudi Arabia v Uruguay
[template]</t>
  </si>
  <si>
    <t xml:space="preserve">Saudi Arabia v Uruguay · Uruguay's test</t>
  </si>
  <si>
    <t xml:space="preserve">Uruguay sit 44 places higher in the FIFA ranking and 298 Elo points clear at a neutral venue.</t>
  </si>
  <si>
    <t xml:space="preserve">1. Class gap (44 FIFA places, 298 Elo)
2. Neutral venue
3. Confidence: mid (sample size, recency)</t>
  </si>
  <si>
    <t xml:space="preserve">Saudi Arabia face Uruguay in Miami Gardens on 15 June. Uruguay are the stronger side on paper, sitting 44 places higher in the FIFA ranking, with about 298 Elo points of separation. The venue at Hard Rock Stadium is neutral. Our model lands at 66% Uruguay, 22% draw, 12% Saudi Arabia.</t>
  </si>
  <si>
    <t xml:space="preserve">Spain v Cape Verde
[template]</t>
  </si>
  <si>
    <t xml:space="preserve">Spain v Cape Verde · A 610-point Elo chasm</t>
  </si>
  <si>
    <t xml:space="preserve">The widest gap in the slate — Spain sit 610 Elo points clear of Cape Verde, with no home advantage to either side.</t>
  </si>
  <si>
    <t xml:space="preserve">1. Class gap (67 FIFA places, 610 Elo)
2. Neutral venue
3. Confidence: mid (sample size, recency)</t>
  </si>
  <si>
    <t xml:space="preserve">Spain face Cape Verde in Atlanta on 15 June. The class gap is wide — Spain sit 67 places higher in the FIFA ranking and around 610 Elo points clear of Cape Verde. The venue at Mercedes-Benz Stadium is neutral. Our model lands at 84% Spain, 14% draw, 2% Cape Verde.</t>
  </si>
  <si>
    <t xml:space="preserve">Iran v New Zealand
[template]</t>
  </si>
  <si>
    <t xml:space="preserve">Iran v New Zealand · A close-run thing</t>
  </si>
  <si>
    <t xml:space="preserve">Iran sit 66 places higher in the FIFA ranking and 168 Elo points clear at a neutral venue.</t>
  </si>
  <si>
    <t xml:space="preserve">1. Moderate class gap (168 Elo)
2. Neutral venue
3. Confidence: mid (sample size, recency)</t>
  </si>
  <si>
    <t xml:space="preserve">Iran face New Zealand in Inglewood on 15 June. Iran are the stronger side on paper, sitting 66 places higher in the FIFA ranking, with about 168 Elo points of separation. The venue at SoFi Stadium is neutral. Our model lands at 57% Iran, 22% draw, 21% New Zealand.</t>
  </si>
  <si>
    <t xml:space="preserve">Belgium v Egypt
[template]</t>
  </si>
  <si>
    <t xml:space="preserve">Belgium v Egypt · A close-run thing</t>
  </si>
  <si>
    <t xml:space="preserve">Belgium sit 26 places higher in the FIFA ranking and 189 Elo points clear at a neutral venue.</t>
  </si>
  <si>
    <t xml:space="preserve">1. Moderate class gap (189 Elo)
2. Neutral venue
3. Confidence: mid (sample size, recency)</t>
  </si>
  <si>
    <t xml:space="preserve">Belgium face Egypt in Seattle on 15 June. Belgium are the stronger side on paper, sitting 26 places higher in the FIFA ranking, with about 189 Elo points of separation. The venue at Lumen Field is neutral. Our model lands at 58% Belgium, 22% draw, 20% Egypt.</t>
  </si>
  <si>
    <t xml:space="preserve">France v Senegal
[template]</t>
  </si>
  <si>
    <t xml:space="preserve">France v Senegal · A close-run thing</t>
  </si>
  <si>
    <t xml:space="preserve">France sit 16 places higher in the FIFA ranking and 194 Elo points clear at a neutral venue.</t>
  </si>
  <si>
    <t xml:space="preserve">1. Moderate class gap (194 Elo)
2. Neutral venue
3. Confidence: mid (sample size, recency)</t>
  </si>
  <si>
    <t xml:space="preserve">France face Senegal in East Rutherford on 16 June. France are the stronger side on paper, sitting 16 places higher in the FIFA ranking, with about 194 Elo points of separation. The venue at MetLife Stadium is neutral. Our model lands at 59% France, 22% draw, 19% Senegal.</t>
  </si>
  <si>
    <t xml:space="preserve">Iraq v Norway
[template]</t>
  </si>
  <si>
    <t xml:space="preserve">Iraq v Norway · Norway's test</t>
  </si>
  <si>
    <t xml:space="preserve">Norway sit 29 places higher in the FIFA ranking and 339 Elo points clear at a neutral venue.</t>
  </si>
  <si>
    <t xml:space="preserve">1. Class gap (29 FIFA places, 339 Elo)
2. Neutral venue
3. Confidence: low (sample size, recency)</t>
  </si>
  <si>
    <t xml:space="preserve">Iraq face Norway in Foxborough on 16 June. Norway are the stronger side on paper, sitting 29 places higher in the FIFA ranking, with about 339 Elo points of separation. The venue at Gillette Stadium is neutral. Our model lands at 72% Norway, 18% draw, 10% Iraq.</t>
  </si>
  <si>
    <t xml:space="preserve">Argentina v Algeria
[template]</t>
  </si>
  <si>
    <t xml:space="preserve">Argentina v Algeria · Argentina's test</t>
  </si>
  <si>
    <t xml:space="preserve">Argentina sit 33 places higher in the FIFA ranking and 385 Elo points clear at a neutral venue.</t>
  </si>
  <si>
    <t xml:space="preserve">1. Class gap (33 FIFA places, 385 Elo)
2. Neutral venue
3. Confidence: mid (sample size, recency)</t>
  </si>
  <si>
    <t xml:space="preserve">Argentina face Algeria in Kansas City on 16 June. The class gap is wide — Argentina sit 33 places higher in the FIFA ranking and around 385 Elo points clear of Algeria. The venue at Arrowhead Stadium is neutral. Our model lands at 74% Argentina, 18% draw, 8% Algeria.</t>
  </si>
  <si>
    <t xml:space="preserve">Austria v Jordan
[template]</t>
  </si>
  <si>
    <t xml:space="preserve">Austria v Jordan · A close-run thing</t>
  </si>
  <si>
    <t xml:space="preserve">Austria sit 42 places higher in the FIFA ranking and 127 Elo points clear at a neutral venue.</t>
  </si>
  <si>
    <t xml:space="preserve">1. Moderate class gap (127 Elo)
2. Neutral venue
3. Confidence: mid (sample size, recency)</t>
  </si>
  <si>
    <t xml:space="preserve">Austria face Jordan in Santa Clara on 16 June. This is a closer fixture than the FIFA ranking suggests — only 42 places between them, and the Elo gap is just 127 points. The venue at Levi's Stadium is neutral. Our model lands at 51% Austria, 25% draw, 24% Jordan.</t>
  </si>
  <si>
    <t xml:space="preserve">Ghana v Panama
[template]</t>
  </si>
  <si>
    <t xml:space="preserve">Ghana v Panama · A close-run thing</t>
  </si>
  <si>
    <t xml:space="preserve">Panama sit 42 places higher in the FIFA ranking and 234 Elo points clear at a neutral venue.</t>
  </si>
  <si>
    <t xml:space="preserve">1. Class gap (42 FIFA places, 234 Elo)
2. Neutral venue
3. Confidence: mid (sample size, recency)</t>
  </si>
  <si>
    <t xml:space="preserve">Ghana face Panama in Toronto on 17 June. Panama are the stronger side on paper, sitting 42 places higher in the FIFA ranking, with about 234 Elo points of separation. The venue at BMO Field is neutral. Our model lands at 62% Panama, 22% draw, 16% Ghana.</t>
  </si>
  <si>
    <t xml:space="preserve">England v Croatia
[template]</t>
  </si>
  <si>
    <t xml:space="preserve">England v Croatia · A close-run thing</t>
  </si>
  <si>
    <t xml:space="preserve">England sit 6 places higher in the FIFA ranking and 109 Elo points clear at a neutral venue.</t>
  </si>
  <si>
    <t xml:space="preserve">1. Moderate class gap (109 Elo)
2. Neutral venue
3. Confidence: mid (sample size, recency)</t>
  </si>
  <si>
    <t xml:space="preserve">England face Croatia in Arlington on 17 June. This is a closer fixture than the FIFA ranking suggests — only 6 places between them, and the Elo gap is just 109 points. The venue at AT&amp;T Stadium is neutral. Our model lands at 49% England, 25% draw, 26% Croatia.</t>
  </si>
  <si>
    <t xml:space="preserve">Portugal v DR Congo
[template]</t>
  </si>
  <si>
    <t xml:space="preserve">Portugal v DR Congo · Portugal's test</t>
  </si>
  <si>
    <t xml:space="preserve">Portugal sit 50 places higher in the FIFA ranking and 337 Elo points clear at a neutral venue.</t>
  </si>
  <si>
    <t xml:space="preserve">1. Class gap (50 FIFA places, 337 Elo)
2. Neutral venue
3. Confidence: low (sample size, recency)</t>
  </si>
  <si>
    <t xml:space="preserve">Portugal face DR Congo in Houston on 17 June. Portugal are the stronger side on paper, sitting 50 places higher in the FIFA ranking, with about 337 Elo points of separation. The venue at NRG Stadium is neutral. Our model lands at 72% Portugal, 18% draw, 10% DR Congo.</t>
  </si>
  <si>
    <t xml:space="preserve">Uzbekistan v Colombia
[template]</t>
  </si>
  <si>
    <t xml:space="preserve">Uzbekistan v Colombia · Altitude as the third opponent</t>
  </si>
  <si>
    <t xml:space="preserve">Estadio Azteca sits at 2,240m. The altitude is a small but real edge for whichever side handles it better; Colombia are the heavier name on Elo.</t>
  </si>
  <si>
    <t xml:space="preserve">1. Class gap (37 FIFA places, 263 Elo)
2. Neutral venue
3. Altitude factor (+16 Elo)
4. Confidence: mid (sample size, recency)</t>
  </si>
  <si>
    <t xml:space="preserve">Uzbekistan face Colombia in Mexico City on 17 June. Colombia are the stronger side on paper, sitting 37 places higher in the FIFA ranking, with about 263 Elo points of separation. Estadio Azteca sits at 2,240 metres — a small edge for whoever handles altitude better. Our model lands at 63% Colombia, 22% draw, 15% Uzbekistan.</t>
  </si>
  <si>
    <t xml:space="preserve">Czech Republic v South Africa
[template]</t>
  </si>
  <si>
    <t xml:space="preserve">Czech Republic v South Africa · A close-run thing</t>
  </si>
  <si>
    <t xml:space="preserve">Czech Republic sit 17 places higher in the FIFA ranking and 202 Elo points clear at a neutral venue.</t>
  </si>
  <si>
    <t xml:space="preserve">1. Class gap (17 FIFA places, 202 Elo)
2. Neutral venue
3. Confidence: low (sample size, recency)</t>
  </si>
  <si>
    <t xml:space="preserve">Czech Republic face South Africa in Atlanta on 18 June. Czech Republic are the stronger side on paper, sitting 17 places higher in the FIFA ranking, with about 202 Elo points of separation. The venue at Mercedes-Benz Stadium is neutral. Our model lands at 59% Czech Republic, 22% draw, 19% South Africa.</t>
  </si>
  <si>
    <t xml:space="preserve">Switzerland v Bosnia and Herzegovina
[template]</t>
  </si>
  <si>
    <t xml:space="preserve">Switzerland v Bosnia and Herzegovina · Switzerland's test</t>
  </si>
  <si>
    <t xml:space="preserve">Switzerland sit 54 places higher in the FIFA ranking and 326 Elo points clear at a neutral venue.</t>
  </si>
  <si>
    <t xml:space="preserve">1. Class gap (54 FIFA places, 326 Elo)
2. Neutral venue
3. Confidence: low (sample size, recency)</t>
  </si>
  <si>
    <t xml:space="preserve">Switzerland face Bosnia and Herzegovina in Inglewood on 18 June. Switzerland are the stronger side on paper, sitting 54 places higher in the FIFA ranking, with about 326 Elo points of separation. The venue at SoFi Stadium is neutral. Our model lands at 71% Switzerland, 18% draw, 11% Bosnia and Herzegovina.</t>
  </si>
  <si>
    <t xml:space="preserve">Canada v Qatar
[template]</t>
  </si>
  <si>
    <t xml:space="preserve">Canada v Qatar · Canada's second match at home</t>
  </si>
  <si>
    <t xml:space="preserve">Canada's home crowd at BC Place adds 75 Elo points on top of a 379-point gap on the underlying numbers.</t>
  </si>
  <si>
    <t xml:space="preserve">1. Class gap (24 FIFA places, 379 Elo)
2. Canada plays at home (+75 Elo)
3. Confidence: mid (sample size, recency)</t>
  </si>
  <si>
    <t xml:space="preserve">Canada face Qatar in Vancouver on 18 June. The class gap is wide — Canada sit 24 places higher in the FIFA ranking and around 379 Elo points clear of Qatar. Canada play at home at BC Place, worth roughly +75 Elo. Our model lands at 76% Canada, 18% draw, 6% Qatar.</t>
  </si>
  <si>
    <t xml:space="preserve">Mexico v South Korea
[template]</t>
  </si>
  <si>
    <t xml:space="preserve">Mexico v South Korea · Mexico's second match at home</t>
  </si>
  <si>
    <t xml:space="preserve">Mexico and South Korea are within 50 Elo points of each other — a tighter fixture than the seeding implies.</t>
  </si>
  <si>
    <t xml:space="preserve">1. Moderate class gap (50 Elo)
2. Mexico plays at home (+75 Elo)
3. Altitude factor (+7 Elo)
4. Confidence: mid (sample size, recency)</t>
  </si>
  <si>
    <t xml:space="preserve">Mexico face South Korea in Zapopan on 18 June. This is a closer fixture than the FIFA ranking suggests — only 7 places between them, and the Elo gap is just 50 points. Mexico play at home with the altitude advantage at Estadio Akron. Our model lands at 51% Mexico, 25% draw, 24% South Korea.</t>
  </si>
  <si>
    <t xml:space="preserve">Brazil v Haiti
[template]</t>
  </si>
  <si>
    <t xml:space="preserve">Brazil v Haiti · A 437-point Elo chasm</t>
  </si>
  <si>
    <t xml:space="preserve">The widest gap in the slate — Brazil sit 437 Elo points clear of Haiti, with no home advantage to either side.</t>
  </si>
  <si>
    <t xml:space="preserve">1. Class gap (79 FIFA places, 437 Elo)
2. Neutral venue
3. Confidence: mid (sample size, recency)</t>
  </si>
  <si>
    <t xml:space="preserve">Brazil face Haiti in Philadelphia on 19 June. The class gap is wide — Brazil sit 79 places higher in the FIFA ranking and around 437 Elo points clear of Haiti. The venue at Lincoln Financial Field is neutral. Our model lands at 76% Brazil, 18% draw, 6% Haiti.</t>
  </si>
  <si>
    <t xml:space="preserve">Scotland v Morocco
[template]</t>
  </si>
  <si>
    <t xml:space="preserve">Scotland v Morocco · Coin-flip territory</t>
  </si>
  <si>
    <t xml:space="preserve">Scotland and Morocco are within 16 Elo points of each other — a tighter fixture than the seeding implies.</t>
  </si>
  <si>
    <t xml:space="preserve">1. Even matchup on Elo (16 points)
2. Neutral venue
3. Confidence: low (sample size, recency)</t>
  </si>
  <si>
    <t xml:space="preserve">Scotland face Morocco in Foxborough on 19 June. This is a closer fixture than the FIFA ranking suggests — only 25 places between them, and the Elo gap is just 16 points. The venue at Gillette Stadium is neutral. Our model lands at 38% Morocco, 28% draw, 34% Scotland.</t>
  </si>
  <si>
    <t xml:space="preserve">Turkey v Paraguay
[template]</t>
  </si>
  <si>
    <t xml:space="preserve">Turkey v Paraguay · Coin-flip territory</t>
  </si>
  <si>
    <t xml:space="preserve">Turkey and Paraguay are within 47 Elo points of each other — a tighter fixture than the seeding implies.</t>
  </si>
  <si>
    <t xml:space="preserve">1. Even matchup on Elo (47 points)
2. Neutral venue
3. Confidence: low (sample size, recency)</t>
  </si>
  <si>
    <t xml:space="preserve">Turkey face Paraguay in Santa Clara on 19 June. This is a closer fixture than the FIFA ranking suggests — only 14 places between them, and the Elo gap is just 47 points. The venue at Levi's Stadium is neutral. Our model lands at 41% Turkey, 28% draw, 31% Paraguay.</t>
  </si>
  <si>
    <t xml:space="preserve">United States v Australia
[template]</t>
  </si>
  <si>
    <t xml:space="preserve">United States v Australia · United States's second match at home</t>
  </si>
  <si>
    <t xml:space="preserve">United States and Australia are within 27 Elo points of each other — a tighter fixture than the seeding implies.</t>
  </si>
  <si>
    <t xml:space="preserve">1. Even matchup on Elo (27 points)
2. United States plays at home (+75 Elo)
3. Confidence: low (sample size, recency)</t>
  </si>
  <si>
    <t xml:space="preserve">United States face Australia in Seattle on 19 June. This is a closer fixture than the FIFA ranking suggests — only 12 places between them, and the Elo gap is just 27 points. United States play at home at Lumen Field, worth roughly +75 Elo. Our model lands at 41% United States, 28% draw, 31% Australia.</t>
  </si>
  <si>
    <t xml:space="preserve">Germany v Ivory Coast
[template]</t>
  </si>
  <si>
    <t xml:space="preserve">Germany v Ivory Coast · Germany's test</t>
  </si>
  <si>
    <t xml:space="preserve">Germany sit 33 places higher in the FIFA ranking and 273 Elo points clear at a neutral venue.</t>
  </si>
  <si>
    <t xml:space="preserve">1. Class gap (33 FIFA places, 273 Elo)
2. Neutral venue
3. Confidence: mid (sample size, recency)</t>
  </si>
  <si>
    <t xml:space="preserve">Germany face Ivory Coast in Toronto on 20 June. Germany are the stronger side on paper, sitting 33 places higher in the FIFA ranking, with about 273 Elo points of separation. The venue at BMO Field is neutral. Our model lands at 65% Germany, 22% draw, 13% Ivory Coast.</t>
  </si>
  <si>
    <t xml:space="preserve">Ecuador v Curacao
[template]</t>
  </si>
  <si>
    <t xml:space="preserve">Ecuador v Curacao · A 466-point Elo chasm</t>
  </si>
  <si>
    <t xml:space="preserve">The widest gap in the slate — Ecuador sit 466 Elo points clear of Curacao, with no home advantage to either side.</t>
  </si>
  <si>
    <t xml:space="preserve">1. Class gap (59 FIFA places, 466 Elo)
2. Neutral venue
3. Confidence: mid (sample size, recency)</t>
  </si>
  <si>
    <t xml:space="preserve">Ecuador face Curacao in Kansas City on 20 June. The class gap is wide — Ecuador sit 59 places higher in the FIFA ranking and around 466 Elo points clear of Curacao. The venue at Arrowhead Stadium is neutral. Our model lands at 77% Ecuador, 18% draw, 5% Curacao.</t>
  </si>
  <si>
    <t xml:space="preserve">Netherlands v Sweden
[template]</t>
  </si>
  <si>
    <t xml:space="preserve">Netherlands v Sweden · Netherlands's test</t>
  </si>
  <si>
    <t xml:space="preserve">Netherlands sit 36 places higher in the FIFA ranking and 299 Elo points clear at a neutral venue.</t>
  </si>
  <si>
    <t xml:space="preserve">1. Class gap (36 FIFA places, 299 Elo)
2. Neutral venue
3. Confidence: low (sample size, recency)</t>
  </si>
  <si>
    <t xml:space="preserve">Netherlands face Sweden in Houston on 20 June. Netherlands are the stronger side on paper, sitting 36 places higher in the FIFA ranking, with about 299 Elo points of separation. The venue at NRG Stadium is neutral. Our model lands at 66% Netherlands, 22% draw, 12% Sweden.</t>
  </si>
  <si>
    <t xml:space="preserve">Tunisia v Japan
[template]</t>
  </si>
  <si>
    <t xml:space="preserve">Tunisia v Japan · Japan's test</t>
  </si>
  <si>
    <t xml:space="preserve">Japan sit 22 places higher in the FIFA ranking and 265 Elo points clear at a neutral venue.</t>
  </si>
  <si>
    <t xml:space="preserve">1. Class gap (22 FIFA places, 265 Elo)
2. Neutral venue
3. Confidence: mid (sample size, recency)</t>
  </si>
  <si>
    <t xml:space="preserve">Tunisia face Japan in Guadalupe on 20 June. Japan are the stronger side on paper, sitting 22 places higher in the FIFA ranking, with about 265 Elo points of separation. The venue at Estadio BBVA is neutral. Our model lands at 64% Japan, 22% draw, 14% Tunisia.</t>
  </si>
  <si>
    <t xml:space="preserve">Uruguay v Cape Verde
[template]</t>
  </si>
  <si>
    <t xml:space="preserve">Uruguay v Cape Verde · Uruguay's test</t>
  </si>
  <si>
    <t xml:space="preserve">Uruguay sit 52 places higher in the FIFA ranking and 329 Elo points clear at a neutral venue.</t>
  </si>
  <si>
    <t xml:space="preserve">1. Class gap (52 FIFA places, 329 Elo)
2. Neutral venue
3. Confidence: mid (sample size, recency)</t>
  </si>
  <si>
    <t xml:space="preserve">Uruguay face Cape Verde in Miami Gardens on 21 June. Uruguay are the stronger side on paper, sitting 52 places higher in the FIFA ranking, with about 329 Elo points of separation. The venue at Hard Rock Stadium is neutral. Our model lands at 71% Uruguay, 18% draw, 11% Cape Verde.</t>
  </si>
  <si>
    <t xml:space="preserve">Spain v Saudi Arabia
[template]</t>
  </si>
  <si>
    <t xml:space="preserve">Spain v Saudi Arabia · A 579-point Elo chasm</t>
  </si>
  <si>
    <t xml:space="preserve">The widest gap in the slate — Spain sit 579 Elo points clear of Saudi Arabia, with no home advantage to either side.</t>
  </si>
  <si>
    <t xml:space="preserve">1. Class gap (59 FIFA places, 579 Elo)
2. Neutral venue
3. Confidence: mid (sample size, recency)</t>
  </si>
  <si>
    <t xml:space="preserve">Spain face Saudi Arabia in Atlanta on 21 June. The class gap is wide — Spain sit 59 places higher in the FIFA ranking and around 579 Elo points clear of Saudi Arabia. The venue at Mercedes-Benz Stadium is neutral. Our model lands at 83% Spain, 14% draw, 3% Saudi Arabia.</t>
  </si>
  <si>
    <t xml:space="preserve">Belgium v Iran
[template]</t>
  </si>
  <si>
    <t xml:space="preserve">Belgium v Iran · A close-run thing</t>
  </si>
  <si>
    <t xml:space="preserve">Belgium sit 12 places higher in the FIFA ranking and 95 Elo points clear at a neutral venue.</t>
  </si>
  <si>
    <t xml:space="preserve">1. Moderate class gap (95 Elo)
2. Neutral venue
3. Confidence: low (sample size, recency)</t>
  </si>
  <si>
    <t xml:space="preserve">Belgium face Iran in Inglewood on 21 June. This is a closer fixture than the FIFA ranking suggests — only 12 places between them, and the Elo gap is just 95 points. The venue at SoFi Stadium is neutral. Our model lands at 48% Belgium, 25% draw, 27% Iran.</t>
  </si>
  <si>
    <t xml:space="preserve">New Zealand v Egypt
[template]</t>
  </si>
  <si>
    <t xml:space="preserve">New Zealand v Egypt · Coin-flip territory</t>
  </si>
  <si>
    <t xml:space="preserve">New Zealand and Egypt are within 74 Elo points of each other — a tighter fixture than the seeding implies.</t>
  </si>
  <si>
    <t xml:space="preserve">1. Even matchup on Elo (74 points)
2. Neutral venue
3. Confidence: low (sample size, recency)</t>
  </si>
  <si>
    <t xml:space="preserve">New Zealand face Egypt in Vancouver on 21 June. This is a closer fixture than the FIFA ranking suggests — only 52 places between them, and the Elo gap is just 74 points. The venue at BC Place is neutral. Our model lands at 45% Egypt, 25% draw, 30% New Zealand.</t>
  </si>
  <si>
    <t xml:space="preserve">Norway v Senegal
[template]</t>
  </si>
  <si>
    <t xml:space="preserve">Norway v Senegal · Coin-flip territory</t>
  </si>
  <si>
    <t xml:space="preserve">Norway and Senegal are within 53 Elo points of each other — a tighter fixture than the seeding implies.</t>
  </si>
  <si>
    <t xml:space="preserve">1. Even matchup on Elo (53 points)
2. Neutral venue
3. Confidence: low (sample size, recency)</t>
  </si>
  <si>
    <t xml:space="preserve">Norway face Senegal in East Rutherford on 22 June. This is a closer fixture than the FIFA ranking suggests — only 10 places between them, and the Elo gap is just 53 points. The venue at MetLife Stadium is neutral. Our model lands at 43% Norway, 25% draw, 32% Senegal.</t>
  </si>
  <si>
    <t xml:space="preserve">France v Iraq
[template]</t>
  </si>
  <si>
    <t xml:space="preserve">France v Iraq · A 480-point Elo chasm</t>
  </si>
  <si>
    <t xml:space="preserve">The widest gap in the slate — France sit 480 Elo points clear of Iraq, with no home advantage to either side.</t>
  </si>
  <si>
    <t xml:space="preserve">1. Class gap (55 FIFA places, 480 Elo)
2. Neutral venue
3. Confidence: low (sample size, recency)</t>
  </si>
  <si>
    <t xml:space="preserve">France face Iraq in Philadelphia on 22 June. The class gap is wide — France sit 55 places higher in the FIFA ranking and around 480 Elo points clear of Iraq. The venue at Lincoln Financial Field is neutral. Our model lands at 77% France, 18% draw, 5% Iraq.</t>
  </si>
  <si>
    <t xml:space="preserve">Argentina v Austria
[template]</t>
  </si>
  <si>
    <t xml:space="preserve">Argentina v Austria · Argentina's test</t>
  </si>
  <si>
    <t xml:space="preserve">Argentina sit 22 places higher in the FIFA ranking and 295 Elo points clear at a neutral venue.</t>
  </si>
  <si>
    <t xml:space="preserve">1. Class gap (22 FIFA places, 295 Elo)
2. Neutral venue
3. Confidence: mid (sample size, recency)</t>
  </si>
  <si>
    <t xml:space="preserve">Argentina face Austria in Arlington on 22 June. Argentina are the stronger side on paper, sitting 22 places higher in the FIFA ranking, with about 295 Elo points of separation. The venue at AT&amp;T Stadium is neutral. Our model lands at 66% Argentina, 22% draw, 12% Austria.</t>
  </si>
  <si>
    <t xml:space="preserve">Jordan v Algeria
[template]</t>
  </si>
  <si>
    <t xml:space="preserve">Jordan v Algeria · Coin-flip territory</t>
  </si>
  <si>
    <t xml:space="preserve">Jordan and Algeria are within 37 Elo points of each other — a tighter fixture than the seeding implies.</t>
  </si>
  <si>
    <t xml:space="preserve">1. Even matchup on Elo (37 points)
2. Neutral venue
3. Confidence: low (sample size, recency)</t>
  </si>
  <si>
    <t xml:space="preserve">Jordan face Algeria in Santa Clara on 22 June. This is a closer fixture than the FIFA ranking suggests — only 31 places between them, and the Elo gap is just 37 points. The venue at Levi's Stadium is neutral. Our model lands at 40% Algeria, 28% draw, 32% Jordan.</t>
  </si>
  <si>
    <t xml:space="preserve">England v Ghana
[template]</t>
  </si>
  <si>
    <t xml:space="preserve">England v Ghana · A 533-point Elo chasm</t>
  </si>
  <si>
    <t xml:space="preserve">The widest gap in the slate — England sit 533 Elo points clear of Ghana, with no home advantage to either side.</t>
  </si>
  <si>
    <t xml:space="preserve">1. Class gap (68 FIFA places, 533 Elo)
2. Neutral venue
3. Confidence: mid (sample size, recency)</t>
  </si>
  <si>
    <t xml:space="preserve">England face Ghana in Foxborough on 23 June. The class gap is wide — England sit 68 places higher in the FIFA ranking and around 533 Elo points clear of Ghana. The venue at Gillette Stadium is neutral. Our model lands at 82% England, 14% draw, 4% Ghana.</t>
  </si>
  <si>
    <t xml:space="preserve">Panama v Croatia
[template]</t>
  </si>
  <si>
    <t xml:space="preserve">Panama v Croatia · A close-run thing</t>
  </si>
  <si>
    <t xml:space="preserve">Croatia sit 20 places higher in the FIFA ranking and 190 Elo points clear at a neutral venue.</t>
  </si>
  <si>
    <t xml:space="preserve">1. Moderate class gap (190 Elo)
2. Neutral venue
3. Confidence: mid (sample size, recency)</t>
  </si>
  <si>
    <t xml:space="preserve">Panama face Croatia in Toronto on 23 June. Croatia are the stronger side on paper, sitting 20 places higher in the FIFA ranking, with about 190 Elo points of separation. The venue at BMO Field is neutral. Our model lands at 58% Croatia, 22% draw, 20% Panama.</t>
  </si>
  <si>
    <t xml:space="preserve">Portugal v Uzbekistan
[template]</t>
  </si>
  <si>
    <t xml:space="preserve">Portugal v Uzbekistan · A close-run thing</t>
  </si>
  <si>
    <t xml:space="preserve">Portugal sit 44 places higher in the FIFA ranking and 241 Elo points clear at a neutral venue.</t>
  </si>
  <si>
    <t xml:space="preserve">1. Class gap (44 FIFA places, 241 Elo)
2. Neutral venue
3. Confidence: mid (sample size, recency)</t>
  </si>
  <si>
    <t xml:space="preserve">Portugal face Uzbekistan in Houston on 23 June. Portugal are the stronger side on paper, sitting 44 places higher in the FIFA ranking, with about 241 Elo points of separation. The venue at NRG Stadium is neutral. Our model lands at 62% Portugal, 22% draw, 16% Uzbekistan.</t>
  </si>
  <si>
    <t xml:space="preserve">Colombia v DR Congo
[template]</t>
  </si>
  <si>
    <t xml:space="preserve">Colombia v DR Congo · Altitude as the third opponent</t>
  </si>
  <si>
    <t xml:space="preserve">Estadio Akron sits at 1,557m. The altitude is a small but real edge for whichever side handles it better; Colombia are the heavier name on Elo.</t>
  </si>
  <si>
    <t xml:space="preserve">1. Class gap (43 FIFA places, 359 Elo)
2. Neutral venue
3. Altitude factor (+7 Elo)
4. Confidence: low (sample size, recency)</t>
  </si>
  <si>
    <t xml:space="preserve">Colombia face DR Congo in Zapopan on 23 June. The class gap is wide — Colombia sit 43 places higher in the FIFA ranking and around 359 Elo points clear of DR Congo. Estadio Akron sits at 1,557 metres — a small edge for whoever handles altitude better. Our model lands at 73% Colombia, 18% draw, 9% DR Congo.</t>
  </si>
  <si>
    <t xml:space="preserve">Scotland v Brazil
[template]</t>
  </si>
  <si>
    <t xml:space="preserve">Scotland v Brazil · Last-chance fixture</t>
  </si>
  <si>
    <t xml:space="preserve">Brazil sit 31 places higher in the FIFA ranking and 189 Elo points clear at a neutral venue.</t>
  </si>
  <si>
    <t xml:space="preserve">Scotland face Brazil in Miami Gardens on 24 June. Brazil are the stronger side on paper, sitting 31 places higher in the FIFA ranking, with about 189 Elo points of separation. The venue at Hard Rock Stadium is neutral. Our model lands at 58% Brazil, 22% draw, 20% Scotland.</t>
  </si>
  <si>
    <t xml:space="preserve">Morocco v Haiti
[template]</t>
  </si>
  <si>
    <t xml:space="preserve">Morocco v Haiti · Last-chance fixture</t>
  </si>
  <si>
    <t xml:space="preserve">Morocco sit 73 places higher in the FIFA ranking and 264 Elo points clear at a neutral venue.</t>
  </si>
  <si>
    <t xml:space="preserve">1. Class gap (73 FIFA places, 264 Elo)
2. Neutral venue
3. Confidence: mid (sample size, recency)</t>
  </si>
  <si>
    <t xml:space="preserve">Morocco face Haiti in Atlanta on 24 June. Morocco are the stronger side on paper, sitting 73 places higher in the FIFA ranking, with about 264 Elo points of separation. The venue at Mercedes-Benz Stadium is neutral. Our model lands at 64% Morocco, 22% draw, 14% Haiti.</t>
  </si>
  <si>
    <t xml:space="preserve">Switzerland v Canada
[template]</t>
  </si>
  <si>
    <t xml:space="preserve">Switzerland v Canada · Last-chance fixture</t>
  </si>
  <si>
    <t xml:space="preserve">Switzerland sit 10 places higher in the FIFA ranking and 91 Elo points clear at a neutral venue.</t>
  </si>
  <si>
    <t xml:space="preserve">1. Moderate class gap (91 Elo)
2. Neutral venue
3. Confidence: low (sample size, recency)</t>
  </si>
  <si>
    <t xml:space="preserve">Switzerland face Canada in Vancouver on 24 June. This is a closer fixture than the FIFA ranking suggests — only 10 places between them, and the Elo gap is just 91 points. The venue at BC Place is neutral. Our model lands at 47% Switzerland, 25% draw, 28% Canada.</t>
  </si>
  <si>
    <t xml:space="preserve">Bosnia and Herzegovina v Qatar
[template]</t>
  </si>
  <si>
    <t xml:space="preserve">Bosnia and Herzegovina v Qatar · Last-chance fixture</t>
  </si>
  <si>
    <t xml:space="preserve">Bosnia and Herzegovina sit 20 places higher in the FIFA ranking and 144 Elo points clear at a neutral venue.</t>
  </si>
  <si>
    <t xml:space="preserve">1. Moderate class gap (144 Elo)
2. Neutral venue
3. Confidence: low (sample size, recency)</t>
  </si>
  <si>
    <t xml:space="preserve">Bosnia and Herzegovina face Qatar in Seattle on 24 June. This is a closer fixture than the FIFA ranking suggests — only 20 places between them, and the Elo gap is just 144 points. The venue at Lumen Field is neutral. Our model lands at 52% Bosnia and Herzegovina, 25% draw, 23% Qatar.</t>
  </si>
  <si>
    <t xml:space="preserve">Czech Republic v Mexico
[template]</t>
  </si>
  <si>
    <t xml:space="preserve">Czech Republic v Mexico · Altitude as the third opponent</t>
  </si>
  <si>
    <t xml:space="preserve">Estadio Azteca sits at 2,240m. The altitude is a small but real edge for whichever side handles it better; Mexico are the heavier name on Elo.</t>
  </si>
  <si>
    <t xml:space="preserve">1. Moderate class gap (103 Elo)
2. Neutral venue
3. Altitude factor (+16 Elo)
4. Confidence: low (sample size, recency)</t>
  </si>
  <si>
    <t xml:space="preserve">Czech Republic face Mexico in Mexico City on 24 June. This is a closer fixture than the FIFA ranking suggests — only 29 places between them, and the Elo gap is just 103 points. Estadio Azteca sits at 2,240 metres — a small edge for whoever handles altitude better. Our model lands at 47% Mexico, 25% draw, 28% Czech Republic.</t>
  </si>
  <si>
    <t xml:space="preserve">South Africa v South Korea
[template]</t>
  </si>
  <si>
    <t xml:space="preserve">South Africa v South Korea · Last-chance fixture</t>
  </si>
  <si>
    <t xml:space="preserve">South Korea sit 39 places higher in the FIFA ranking and 255 Elo points clear at a neutral venue.</t>
  </si>
  <si>
    <t xml:space="preserve">1. Class gap (39 FIFA places, 255 Elo)
2. Neutral venue
3. Confidence: mid (sample size, recency)</t>
  </si>
  <si>
    <t xml:space="preserve">South Africa face South Korea in Guadalupe on 24 June. South Korea are the stronger side on paper, sitting 39 places higher in the FIFA ranking, with about 255 Elo points of separation. The venue at Estadio BBVA is neutral. Our model lands at 63% South Korea, 22% draw, 15% South Africa.</t>
  </si>
  <si>
    <t xml:space="preserve">Curacao v Ivory Coast
[template]</t>
  </si>
  <si>
    <t xml:space="preserve">Curacao v Ivory Coast · Last-chance fixture</t>
  </si>
  <si>
    <t xml:space="preserve">Ivory Coast sit 40 places higher in the FIFA ranking and 170 Elo points clear at a neutral venue.</t>
  </si>
  <si>
    <t xml:space="preserve">1. Moderate class gap (170 Elo)
2. Neutral venue
3. Confidence: mid (sample size, recency)</t>
  </si>
  <si>
    <t xml:space="preserve">Curacao face Ivory Coast in Philadelphia on 25 June. Ivory Coast are the stronger side on paper, sitting 40 places higher in the FIFA ranking, with about 170 Elo points of separation. The venue at Lincoln Financial Field is neutral. Our model lands at 57% Ivory Coast, 22% draw, 21% Curacao.</t>
  </si>
  <si>
    <t xml:space="preserve">Ecuador v Germany
[template]</t>
  </si>
  <si>
    <t xml:space="preserve">Ecuador v Germany · Coin-flip territory</t>
  </si>
  <si>
    <t xml:space="preserve">Ecuador and Germany are within 23 Elo points of each other — a tighter fixture than the seeding implies.</t>
  </si>
  <si>
    <t xml:space="preserve">1. Even matchup on Elo (23 points)
2. Neutral venue
3. Confidence: low (sample size, recency)</t>
  </si>
  <si>
    <t xml:space="preserve">Ecuador face Germany in East Rutherford on 25 June. This is a closer fixture than the FIFA ranking suggests — only 14 places between them, and the Elo gap is just 23 points. The venue at MetLife Stadium is neutral. Our model lands at 38% Ecuador, 28% draw, 34% Germany.</t>
  </si>
  <si>
    <t xml:space="preserve">Japan v Sweden
[template]</t>
  </si>
  <si>
    <t xml:space="preserve">Japan v Sweden · Last-chance fixture</t>
  </si>
  <si>
    <t xml:space="preserve">Japan sit 25 places higher in the FIFA ranking and 219 Elo points clear at a neutral venue.</t>
  </si>
  <si>
    <t xml:space="preserve">1. Class gap (25 FIFA places, 219 Elo)
2. Neutral venue
3. Confidence: low (sample size, recency)</t>
  </si>
  <si>
    <t xml:space="preserve">Japan face Sweden in Arlington on 25 June. Japan are the stronger side on paper, sitting 25 places higher in the FIFA ranking, with about 219 Elo points of separation. The venue at AT&amp;T Stadium is neutral. Our model lands at 61% Japan, 22% draw, 17% Sweden.</t>
  </si>
  <si>
    <t xml:space="preserve">Tunisia v Netherlands
[template]</t>
  </si>
  <si>
    <t xml:space="preserve">Tunisia v Netherlands · Last-chance fixture</t>
  </si>
  <si>
    <t xml:space="preserve">Netherlands sit 33 places higher in the FIFA ranking and 345 Elo points clear at a neutral venue.</t>
  </si>
  <si>
    <t xml:space="preserve">1. Class gap (33 FIFA places, 345 Elo)
2. Neutral venue
3. Confidence: mid (sample size, recency)</t>
  </si>
  <si>
    <t xml:space="preserve">Tunisia face Netherlands in Kansas City on 25 June. Netherlands are the stronger side on paper, sitting 33 places higher in the FIFA ranking, with about 345 Elo points of separation. The venue at Arrowhead Stadium is neutral. Our model lands at 72% Netherlands, 18% draw, 10% Tunisia.</t>
  </si>
  <si>
    <t xml:space="preserve">Turkey v United States
[template]</t>
  </si>
  <si>
    <t xml:space="preserve">Turkey v United States · Last-chance fixture</t>
  </si>
  <si>
    <t xml:space="preserve">Turkey sit 11 places higher in the FIFA ranking and 133 Elo points clear at a neutral venue.</t>
  </si>
  <si>
    <t xml:space="preserve">1. Moderate class gap (133 Elo)
2. Neutral venue
3. Confidence: low (sample size, recency)</t>
  </si>
  <si>
    <t xml:space="preserve">Turkey face United States in Inglewood on 25 June. This is a closer fixture than the FIFA ranking suggests — only 11 places between them, and the Elo gap is just 133 points. The venue at SoFi Stadium is neutral. Our model lands at 51% Turkey, 25% draw, 24% United States.</t>
  </si>
  <si>
    <t xml:space="preserve">Paraguay v Australia
[template]</t>
  </si>
  <si>
    <t xml:space="preserve">Paraguay v Australia · Coin-flip territory</t>
  </si>
  <si>
    <t xml:space="preserve">Paraguay and Australia are within 59 Elo points of each other — a tighter fixture than the seeding implies.</t>
  </si>
  <si>
    <t xml:space="preserve">1. Even matchup on Elo (59 points)
2. Neutral venue
3. Confidence: low (sample size, recency)</t>
  </si>
  <si>
    <t xml:space="preserve">Paraguay face Australia in Santa Clara on 25 June. This is a closer fixture than the FIFA ranking suggests — only 13 places between them, and the Elo gap is just 59 points. The venue at Levi's Stadium is neutral. Our model lands at 44% Paraguay, 25% draw, 31% Australia.</t>
  </si>
  <si>
    <t xml:space="preserve">Norway v France
[template]</t>
  </si>
  <si>
    <t xml:space="preserve">Norway v France · Last-chance fixture</t>
  </si>
  <si>
    <t xml:space="preserve">France sit 26 places higher in the FIFA ranking and 141 Elo points clear at a neutral venue.</t>
  </si>
  <si>
    <t xml:space="preserve">1. Moderate class gap (141 Elo)
2. Neutral venue
3. Confidence: mid (sample size, recency)</t>
  </si>
  <si>
    <t xml:space="preserve">Norway face France in Foxborough on 26 June. This is a closer fixture than the FIFA ranking suggests — only 26 places between them, and the Elo gap is just 141 points. The venue at Gillette Stadium is neutral. Our model lands at 52% France, 25% draw, 23% Norway.</t>
  </si>
  <si>
    <t xml:space="preserve">Senegal v Iraq
[template]</t>
  </si>
  <si>
    <t xml:space="preserve">Senegal v Iraq · Last-chance fixture</t>
  </si>
  <si>
    <t xml:space="preserve">Senegal sit 39 places higher in the FIFA ranking and 286 Elo points clear at a neutral venue.</t>
  </si>
  <si>
    <t xml:space="preserve">1. Class gap (39 FIFA places, 286 Elo)
2. Neutral venue
3. Confidence: low (sample size, recency)</t>
  </si>
  <si>
    <t xml:space="preserve">Senegal face Iraq in Toronto on 26 June. Senegal are the stronger side on paper, sitting 39 places higher in the FIFA ranking, with about 286 Elo points of separation. The venue at BMO Field is neutral. Our model lands at 65% Senegal, 22% draw, 13% Iraq.</t>
  </si>
  <si>
    <t xml:space="preserve">Egypt v Iran
[template]</t>
  </si>
  <si>
    <t xml:space="preserve">Egypt v Iran · Last-chance fixture</t>
  </si>
  <si>
    <t xml:space="preserve">Iran sit 14 places higher in the FIFA ranking and 94 Elo points clear at a neutral venue.</t>
  </si>
  <si>
    <t xml:space="preserve">1. Moderate class gap (94 Elo)
2. Neutral venue
3. Confidence: low (sample size, recency)</t>
  </si>
  <si>
    <t xml:space="preserve">Egypt face Iran in Seattle on 26 June. This is a closer fixture than the FIFA ranking suggests — only 14 places between them, and the Elo gap is just 94 points. The venue at Lumen Field is neutral. Our model lands at 47% Iran, 25% draw, 28% Egypt.</t>
  </si>
  <si>
    <t xml:space="preserve">New Zealand v Belgium
[template]</t>
  </si>
  <si>
    <t xml:space="preserve">New Zealand v Belgium · Last-chance fixture</t>
  </si>
  <si>
    <t xml:space="preserve">Belgium sit 78 places higher in the FIFA ranking and 263 Elo points clear at a neutral venue.</t>
  </si>
  <si>
    <t xml:space="preserve">1. Class gap (78 FIFA places, 263 Elo)
2. Neutral venue
3. Confidence: mid (sample size, recency)</t>
  </si>
  <si>
    <t xml:space="preserve">New Zealand face Belgium in Vancouver on 26 June. Belgium are the stronger side on paper, sitting 78 places higher in the FIFA ranking, with about 263 Elo points of separation. The venue at BC Place is neutral. Our model lands at 64% Belgium, 22% draw, 14% New Zealand.</t>
  </si>
  <si>
    <t xml:space="preserve">Cape Verde v Saudi Arabia
[template]</t>
  </si>
  <si>
    <t xml:space="preserve">Cape Verde v Saudi Arabia · Coin-flip territory</t>
  </si>
  <si>
    <t xml:space="preserve">Cape Verde and Saudi Arabia are within 31 Elo points of each other — a tighter fixture than the seeding implies.</t>
  </si>
  <si>
    <t xml:space="preserve">1. Even matchup on Elo (31 points)
2. Neutral venue
3. Confidence: low (sample size, recency)</t>
  </si>
  <si>
    <t xml:space="preserve">Cape Verde face Saudi Arabia in Houston on 26 June. This is a closer fixture than the FIFA ranking suggests — only 8 places between them, and the Elo gap is just 31 points. The venue at NRG Stadium is neutral. Our model lands at 39% Saudi Arabia, 28% draw, 33% Cape Verde.</t>
  </si>
  <si>
    <t xml:space="preserve">Uruguay v Spain
[template]</t>
  </si>
  <si>
    <t xml:space="preserve">Uruguay v Spain · Altitude as the third opponent</t>
  </si>
  <si>
    <t xml:space="preserve">Estadio Akron sits at 1,557m. The altitude is a small but real edge for whichever side handles it better; Spain are the heavier name on Elo.</t>
  </si>
  <si>
    <t xml:space="preserve">1. Class gap (15 FIFA places, 281 Elo)
2. Neutral venue
3. Altitude factor (+7 Elo)
4. Confidence: mid (sample size, recency)</t>
  </si>
  <si>
    <t xml:space="preserve">Uruguay face Spain in Zapopan on 26 June. Spain are the stronger side on paper, sitting 15 places higher in the FIFA ranking, with about 281 Elo points of separation. Estadio Akron sits at 1,557 metres — a small edge for whoever handles altitude better. Our model lands at 65% Spain, 22% draw, 13% Uruguay.</t>
  </si>
  <si>
    <t xml:space="preserve">Panama v England
[template]</t>
  </si>
  <si>
    <t xml:space="preserve">Panama v England · Last-chance fixture</t>
  </si>
  <si>
    <t xml:space="preserve">England sit 26 places higher in the FIFA ranking and 299 Elo points clear at a neutral venue.</t>
  </si>
  <si>
    <t xml:space="preserve">1. Class gap (26 FIFA places, 299 Elo)
2. Neutral venue
3. Confidence: mid (sample size, recency)</t>
  </si>
  <si>
    <t xml:space="preserve">Panama face England in East Rutherford on 27 June. England are the stronger side on paper, sitting 26 places higher in the FIFA ranking, with about 299 Elo points of separation. The venue at MetLife Stadium is neutral. Our model lands at 66% England, 22% draw, 12% Panama.</t>
  </si>
  <si>
    <t xml:space="preserve">Croatia v Ghana
[template]</t>
  </si>
  <si>
    <t xml:space="preserve">Croatia v Ghana · A 424-point Elo chasm</t>
  </si>
  <si>
    <t xml:space="preserve">The widest gap in the slate — Croatia sit 424 Elo points clear of Ghana, with no home advantage to either side.</t>
  </si>
  <si>
    <t xml:space="preserve">1. Class gap (62 FIFA places, 424 Elo)
2. Neutral venue
3. Confidence: mid (sample size, recency)</t>
  </si>
  <si>
    <t xml:space="preserve">Croatia face Ghana in Philadelphia on 27 June. The class gap is wide — Croatia sit 62 places higher in the FIFA ranking and around 424 Elo points clear of Ghana. The venue at Lincoln Financial Field is neutral. Our model lands at 75% Croatia, 18% draw, 7% Ghana.</t>
  </si>
  <si>
    <t xml:space="preserve">Algeria v Austria
[template]</t>
  </si>
  <si>
    <t xml:space="preserve">Algeria v Austria · Last-chance fixture</t>
  </si>
  <si>
    <t xml:space="preserve">Austria sit 11 places higher in the FIFA ranking and 90 Elo points clear at a neutral venue.</t>
  </si>
  <si>
    <t xml:space="preserve">1. Moderate class gap (90 Elo)
2. Neutral venue
3. Confidence: low (sample size, recency)</t>
  </si>
  <si>
    <t xml:space="preserve">Algeria face Austria in Kansas City on 27 June. This is a closer fixture than the FIFA ranking suggests — only 11 places between them, and the Elo gap is just 90 points. The venue at Arrowhead Stadium is neutral. Our model lands at 47% Austria, 25% draw, 28% Algeria.</t>
  </si>
  <si>
    <t xml:space="preserve">Jordan v Argentina
[template]</t>
  </si>
  <si>
    <t xml:space="preserve">Jordan v Argentina · A 422-point Elo chasm</t>
  </si>
  <si>
    <t xml:space="preserve">The widest gap in the slate — Argentina sit 422 Elo points clear of Jordan, with no home advantage to either side.</t>
  </si>
  <si>
    <t xml:space="preserve">1. Class gap (64 FIFA places, 422 Elo)
2. Neutral venue
3. Confidence: mid (sample size, recency)</t>
  </si>
  <si>
    <t xml:space="preserve">Jordan face Argentina in Arlington on 27 June. The class gap is wide — Argentina sit 64 places higher in the FIFA ranking and around 422 Elo points clear of Jordan. The venue at AT&amp;T Stadium is neutral. Our model lands at 75% Argentina, 18% draw, 7% Jordan.</t>
  </si>
  <si>
    <t xml:space="preserve">Colombia v Portugal
[template]</t>
  </si>
  <si>
    <t xml:space="preserve">Colombia v Portugal · Coin-flip territory</t>
  </si>
  <si>
    <t xml:space="preserve">Colombia and Portugal are within 22 Elo points of each other — a tighter fixture than the seeding implies.</t>
  </si>
  <si>
    <t xml:space="preserve">1. Even matchup on Elo (22 points)
2. Neutral venue
3. Confidence: low (sample size, recency)</t>
  </si>
  <si>
    <t xml:space="preserve">Colombia face Portugal in Miami Gardens on 27 June. This is a closer fixture than the FIFA ranking suggests — only 7 places between them, and the Elo gap is just 22 points. The venue at Hard Rock Stadium is neutral. Our model lands at 38% Colombia, 28% draw, 34% Portugal.</t>
  </si>
  <si>
    <t xml:space="preserve">DR Congo v Uzbekistan
[template]</t>
  </si>
  <si>
    <t xml:space="preserve">DR Congo v Uzbekistan · Last-chance fixture</t>
  </si>
  <si>
    <t xml:space="preserve">Uzbekistan sit 6 places higher in the FIFA ranking and 96 Elo points clear at a neutral venue.</t>
  </si>
  <si>
    <t xml:space="preserve">1. Moderate class gap (96 Elo)
2. Neutral venue
3. Confidence: low (sample size, recency)</t>
  </si>
  <si>
    <t xml:space="preserve">DR Congo face Uzbekistan in Atlanta on 27 June. This is a closer fixture than the FIFA ranking suggests — only 6 places between them, and the Elo gap is just 96 points. The venue at Mercedes-Benz Stadium is neutral. Our model lands at 48% Uzbekistan, 25% draw, 27% DR Congo.</t>
  </si>
  <si>
    <t xml:space="preserve">Decisions Faktor needs from Adi before the engine ships</t>
  </si>
  <si>
    <t xml:space="preserve">#</t>
  </si>
  <si>
    <t xml:space="preserve">Question</t>
  </si>
  <si>
    <t xml:space="preserve">Why it matters</t>
  </si>
  <si>
    <t xml:space="preserve">Owner</t>
  </si>
  <si>
    <t xml:space="preserve">Blocker?</t>
  </si>
  <si>
    <t xml:space="preserve">Elo source: scrape eloratings.net via headless Playwright, or pull Wikipedia's Module:SportsRankings/data/World_Football_Elo_Ratings (plain wikitext, version-controlled, what we used here)?</t>
  </si>
  <si>
    <t xml:space="preserve">JS-rendered eloratings adds infra. Wikipedia mirror is updated within hours of matches and trivial to parse. Probably switch.</t>
  </si>
  <si>
    <t xml:space="preserve">Faktor + Adi</t>
  </si>
  <si>
    <t xml:space="preserve">Polymarket fixture mapping: hand-build the slug map for 72 group-stage matches up front, or call Gamma /markets?question= search at runtime?</t>
  </si>
  <si>
    <t xml:space="preserve">Slug for Mexico-SA returned empty in our test. Need a deterministic join key from match_id to Polymarket condition_id and Kalshi ticker.</t>
  </si>
  <si>
    <t xml:space="preserve">Faktor</t>
  </si>
  <si>
    <t xml:space="preserve">Injury / availability data: manual ops 5 min/day (Adi + Faktor), scrape BBC/ESPN/federation sites, or pay SportMonks for the tournament window only?</t>
  </si>
  <si>
    <t xml:space="preserve">Late-binding feature, but the most impactful one. Free options are fragile; paid is EUR 69-129/mo for the WC plan.</t>
  </si>
  <si>
    <t xml:space="preserve">Adi</t>
  </si>
  <si>
    <t xml:space="preserve">Confidence band thresholds: what triggers low/mid/high?</t>
  </si>
  <si>
    <t xml:space="preserve">Drives UI hedge. Current rule: low for playoff-confirmed teams or eff_diff &lt; 100; otherwise mid. High requires confirmed XI in.</t>
  </si>
  <si>
    <t xml:space="preserve">Comparison-view design when model and market agree.</t>
  </si>
  <si>
    <t xml:space="preserve">Mexico-SA test shows the gap can be small. UI needs a graceful 'they agree, here's why' component, not just a delta number.</t>
  </si>
  <si>
    <t xml:space="preserve">Design system</t>
  </si>
  <si>
    <t xml:space="preserve">Disclaimer placement: per-match-card footer, page footer, or both?</t>
  </si>
  <si>
    <t xml:space="preserve">Legal/voice. The design system's anti-promo rule says we never frame as advice — disclaimer reinforces.</t>
  </si>
  <si>
    <t xml:space="preserve">Sportsbook anchor as a hidden sanity check: pull Pinnacle implied probability and silently flag matches where our model deviates &gt;10pp from sharp consensus?</t>
  </si>
  <si>
    <t xml:space="preserve">Engineer-only debug feature. Catches model bugs before a wrong number ships to the surface. Doesn't enter the user UI.</t>
  </si>
  <si>
    <t xml:space="preserve">Run cadence: nightly until T-5, then 3x/day until T-24h, then hourly until kickoff?</t>
  </si>
  <si>
    <t xml:space="preserve">Need to confirm before infra sizing.</t>
  </si>
  <si>
    <t xml:space="preserve">Calibration evaluation visible to whom?</t>
  </si>
  <si>
    <t xml:space="preserve">Brier score and reliability diagrams should be visible internally throughout the tournament. Not to users in v1.</t>
  </si>
  <si>
    <t xml:space="preserve">StatsBomb licence — we're using their open data (CC-BY-NC) for model training. Acceptable for the current Prophet positioning, or do we need a commercial licence before monetising?</t>
  </si>
  <si>
    <t xml:space="preserve">Beta target is May 9 — pre-revenue, so non-commercial is fine. Becomes a question once Prophet earns revenue.</t>
  </si>
  <si>
    <t xml:space="preserve">Refresh ratings cadence: Elo and FIFA-rank values used here are January and November 2025 respectively. How often does Faktor's pipeline refresh them?</t>
  </si>
  <si>
    <t xml:space="preserve">Stale ratings will skew the model in the opening matchday especially. Suggest weekly Elo, monthly FIFA rank.</t>
  </si>
  <si>
    <t xml:space="preserve">Recently-confirmed teams — Czech Republic, Bosnia, Turkey, Sweden, Iraq, DR Congo — were UEFA / inter-confederation playoff winners. Their ratings are still settling. Mark as 'low confidence' across opening matchday?</t>
  </si>
  <si>
    <t xml:space="preserve">These teams' Elo numbers reflect long pre-playoff form, not the playoff itself. Worth flagging.</t>
  </si>
</sst>
</file>

<file path=xl/styles.xml><?xml version="1.0" encoding="utf-8"?>
<styleSheet xmlns="http://schemas.openxmlformats.org/spreadsheetml/2006/main">
  <numFmts count="4">
    <numFmt numFmtId="164" formatCode="General"/>
    <numFmt numFmtId="165" formatCode="0.0%"/>
    <numFmt numFmtId="166" formatCode="0.00"/>
    <numFmt numFmtId="167" formatCode="\+0.0&quot; pp&quot;;\-0.0&quot; pp&quot;;&quot;0 pp&quot;"/>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DDEBF7"/>
        <bgColor rgb="FFD9E1F2"/>
      </patternFill>
    </fill>
    <fill>
      <patternFill patternType="solid">
        <fgColor rgb="FFD9E1F2"/>
        <bgColor rgb="FFDDEBF7"/>
      </patternFill>
    </fill>
    <fill>
      <patternFill patternType="solid">
        <fgColor rgb="FFFFC7CE"/>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6"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8" fillId="6" borderId="1" xfId="0" applyFont="true" applyBorder="true" applyAlignment="true" applyProtection="false">
      <alignment horizontal="center" vertical="center" textRotation="0" wrapText="true" indent="0" shrinkToFit="false"/>
      <protection locked="true" hidden="false"/>
    </xf>
    <xf numFmtId="167"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38"/>
    <col collapsed="false" customWidth="true" hidden="false" outlineLevel="0" max="4" min="4" style="0" width="14"/>
    <col collapsed="false" customWidth="true" hidden="false" outlineLevel="0" max="5" min="5" style="0" width="10"/>
    <col collapsed="false" customWidth="true" hidden="false" outlineLevel="0" max="6" min="6" style="0" width="12"/>
    <col collapsed="false" customWidth="true" hidden="false" outlineLevel="0" max="7" min="7" style="0" width="56"/>
  </cols>
  <sheetData>
    <row r="1" customFormat="false" ht="17.35" hidden="false" customHeight="false" outlineLevel="0" collapsed="false">
      <c r="A1" s="1" t="s">
        <v>0</v>
      </c>
      <c r="B1" s="1"/>
      <c r="C1" s="1"/>
      <c r="D1" s="1"/>
      <c r="E1" s="1"/>
      <c r="F1" s="1"/>
      <c r="G1" s="1"/>
    </row>
    <row r="2" customFormat="false" ht="48" hidden="false" customHeight="true" outlineLevel="0" collapsed="false">
      <c r="A2" s="2" t="s">
        <v>1</v>
      </c>
      <c r="B2" s="2"/>
      <c r="C2" s="2"/>
      <c r="D2" s="2"/>
      <c r="E2" s="2"/>
      <c r="F2" s="2"/>
      <c r="G2" s="2"/>
    </row>
    <row r="4" customFormat="false" ht="27.75" hidden="false" customHeight="true" outlineLevel="0" collapsed="false">
      <c r="A4" s="3" t="s">
        <v>2</v>
      </c>
      <c r="B4" s="3" t="s">
        <v>3</v>
      </c>
      <c r="C4" s="3" t="s">
        <v>4</v>
      </c>
      <c r="D4" s="3" t="s">
        <v>5</v>
      </c>
      <c r="E4" s="3" t="s">
        <v>6</v>
      </c>
      <c r="F4" s="3" t="s">
        <v>7</v>
      </c>
      <c r="G4" s="3" t="s">
        <v>8</v>
      </c>
    </row>
    <row r="5" customFormat="false" ht="31.5" hidden="false" customHeight="true" outlineLevel="0" collapsed="false">
      <c r="A5" s="4" t="s">
        <v>9</v>
      </c>
      <c r="B5" s="5" t="s">
        <v>10</v>
      </c>
      <c r="C5" s="5" t="s">
        <v>11</v>
      </c>
      <c r="D5" s="6" t="s">
        <v>12</v>
      </c>
      <c r="E5" s="7" t="s">
        <v>13</v>
      </c>
      <c r="F5" s="6" t="s">
        <v>14</v>
      </c>
      <c r="G5" s="5" t="s">
        <v>15</v>
      </c>
    </row>
    <row r="6" customFormat="false" ht="31.5" hidden="false" customHeight="true" outlineLevel="0" collapsed="false">
      <c r="A6" s="4" t="s">
        <v>16</v>
      </c>
      <c r="B6" s="5" t="s">
        <v>17</v>
      </c>
      <c r="C6" s="5" t="s">
        <v>18</v>
      </c>
      <c r="D6" s="6" t="s">
        <v>12</v>
      </c>
      <c r="E6" s="7" t="s">
        <v>13</v>
      </c>
      <c r="F6" s="6" t="s">
        <v>14</v>
      </c>
      <c r="G6" s="5" t="s">
        <v>19</v>
      </c>
    </row>
    <row r="7" customFormat="false" ht="31.5" hidden="false" customHeight="true" outlineLevel="0" collapsed="false">
      <c r="A7" s="4" t="s">
        <v>20</v>
      </c>
      <c r="B7" s="5" t="s">
        <v>21</v>
      </c>
      <c r="C7" s="5" t="s">
        <v>22</v>
      </c>
      <c r="D7" s="6" t="s">
        <v>12</v>
      </c>
      <c r="E7" s="7" t="s">
        <v>13</v>
      </c>
      <c r="F7" s="6" t="s">
        <v>14</v>
      </c>
      <c r="G7" s="5" t="s">
        <v>23</v>
      </c>
    </row>
    <row r="8" customFormat="false" ht="31.5" hidden="false" customHeight="true" outlineLevel="0" collapsed="false">
      <c r="A8" s="4" t="s">
        <v>24</v>
      </c>
      <c r="B8" s="5" t="s">
        <v>10</v>
      </c>
      <c r="C8" s="5" t="s">
        <v>25</v>
      </c>
      <c r="D8" s="6" t="s">
        <v>12</v>
      </c>
      <c r="E8" s="7" t="s">
        <v>13</v>
      </c>
      <c r="F8" s="6" t="s">
        <v>14</v>
      </c>
      <c r="G8" s="5" t="s">
        <v>26</v>
      </c>
    </row>
    <row r="9" customFormat="false" ht="31.5" hidden="false" customHeight="true" outlineLevel="0" collapsed="false">
      <c r="A9" s="4" t="s">
        <v>27</v>
      </c>
      <c r="B9" s="5" t="s">
        <v>10</v>
      </c>
      <c r="C9" s="5" t="s">
        <v>25</v>
      </c>
      <c r="D9" s="6" t="s">
        <v>12</v>
      </c>
      <c r="E9" s="7" t="s">
        <v>13</v>
      </c>
      <c r="F9" s="6" t="s">
        <v>14</v>
      </c>
      <c r="G9" s="5" t="s">
        <v>28</v>
      </c>
    </row>
    <row r="10" customFormat="false" ht="31.5" hidden="false" customHeight="true" outlineLevel="0" collapsed="false">
      <c r="A10" s="4" t="s">
        <v>29</v>
      </c>
      <c r="B10" s="5" t="s">
        <v>10</v>
      </c>
      <c r="C10" s="5" t="s">
        <v>25</v>
      </c>
      <c r="D10" s="6" t="s">
        <v>12</v>
      </c>
      <c r="E10" s="7" t="s">
        <v>13</v>
      </c>
      <c r="F10" s="6" t="s">
        <v>14</v>
      </c>
      <c r="G10" s="5" t="s">
        <v>30</v>
      </c>
    </row>
    <row r="11" customFormat="false" ht="31.5" hidden="false" customHeight="true" outlineLevel="0" collapsed="false">
      <c r="A11" s="4" t="s">
        <v>31</v>
      </c>
      <c r="B11" s="5" t="s">
        <v>10</v>
      </c>
      <c r="C11" s="5" t="s">
        <v>32</v>
      </c>
      <c r="D11" s="6" t="s">
        <v>12</v>
      </c>
      <c r="E11" s="7" t="s">
        <v>13</v>
      </c>
      <c r="F11" s="6" t="s">
        <v>14</v>
      </c>
      <c r="G11" s="5" t="s">
        <v>33</v>
      </c>
    </row>
    <row r="12" customFormat="false" ht="31.5" hidden="false" customHeight="true" outlineLevel="0" collapsed="false">
      <c r="A12" s="4" t="s">
        <v>34</v>
      </c>
      <c r="B12" s="5" t="s">
        <v>17</v>
      </c>
      <c r="C12" s="5" t="s">
        <v>32</v>
      </c>
      <c r="D12" s="6" t="s">
        <v>12</v>
      </c>
      <c r="E12" s="7" t="s">
        <v>13</v>
      </c>
      <c r="F12" s="6" t="s">
        <v>14</v>
      </c>
      <c r="G12" s="5" t="s">
        <v>35</v>
      </c>
    </row>
    <row r="13" customFormat="false" ht="31.5" hidden="false" customHeight="true" outlineLevel="0" collapsed="false">
      <c r="A13" s="4" t="s">
        <v>36</v>
      </c>
      <c r="B13" s="5" t="s">
        <v>10</v>
      </c>
      <c r="C13" s="5" t="s">
        <v>25</v>
      </c>
      <c r="D13" s="6" t="s">
        <v>12</v>
      </c>
      <c r="E13" s="7" t="s">
        <v>13</v>
      </c>
      <c r="F13" s="6" t="s">
        <v>14</v>
      </c>
      <c r="G13" s="5" t="s">
        <v>37</v>
      </c>
    </row>
    <row r="14" customFormat="false" ht="31.5" hidden="false" customHeight="true" outlineLevel="0" collapsed="false">
      <c r="A14" s="4" t="s">
        <v>38</v>
      </c>
      <c r="B14" s="5" t="s">
        <v>10</v>
      </c>
      <c r="C14" s="5" t="s">
        <v>25</v>
      </c>
      <c r="D14" s="6" t="s">
        <v>12</v>
      </c>
      <c r="E14" s="7" t="s">
        <v>13</v>
      </c>
      <c r="F14" s="6" t="s">
        <v>14</v>
      </c>
      <c r="G14" s="5" t="s">
        <v>39</v>
      </c>
    </row>
    <row r="15" customFormat="false" ht="31.5" hidden="false" customHeight="true" outlineLevel="0" collapsed="false">
      <c r="A15" s="4" t="s">
        <v>40</v>
      </c>
      <c r="B15" s="5" t="s">
        <v>17</v>
      </c>
      <c r="C15" s="5" t="s">
        <v>41</v>
      </c>
      <c r="D15" s="6" t="s">
        <v>12</v>
      </c>
      <c r="E15" s="7" t="s">
        <v>13</v>
      </c>
      <c r="F15" s="6" t="s">
        <v>42</v>
      </c>
      <c r="G15" s="5" t="s">
        <v>43</v>
      </c>
    </row>
    <row r="16" customFormat="false" ht="31.5" hidden="false" customHeight="true" outlineLevel="0" collapsed="false">
      <c r="A16" s="4" t="s">
        <v>44</v>
      </c>
      <c r="B16" s="5" t="s">
        <v>17</v>
      </c>
      <c r="C16" s="5" t="s">
        <v>41</v>
      </c>
      <c r="D16" s="6" t="s">
        <v>12</v>
      </c>
      <c r="E16" s="7" t="s">
        <v>13</v>
      </c>
      <c r="F16" s="6" t="s">
        <v>42</v>
      </c>
      <c r="G16" s="5" t="s">
        <v>30</v>
      </c>
    </row>
    <row r="17" customFormat="false" ht="31.5" hidden="false" customHeight="true" outlineLevel="0" collapsed="false">
      <c r="A17" s="4" t="s">
        <v>45</v>
      </c>
      <c r="B17" s="5" t="s">
        <v>17</v>
      </c>
      <c r="C17" s="5" t="s">
        <v>46</v>
      </c>
      <c r="D17" s="6" t="s">
        <v>12</v>
      </c>
      <c r="E17" s="7" t="s">
        <v>13</v>
      </c>
      <c r="F17" s="6" t="s">
        <v>42</v>
      </c>
      <c r="G17" s="5" t="s">
        <v>47</v>
      </c>
    </row>
    <row r="18" customFormat="false" ht="31.5" hidden="false" customHeight="true" outlineLevel="0" collapsed="false">
      <c r="A18" s="4" t="s">
        <v>48</v>
      </c>
      <c r="B18" s="5" t="s">
        <v>17</v>
      </c>
      <c r="C18" s="5" t="s">
        <v>46</v>
      </c>
      <c r="D18" s="6" t="s">
        <v>12</v>
      </c>
      <c r="E18" s="7" t="s">
        <v>13</v>
      </c>
      <c r="F18" s="6" t="s">
        <v>42</v>
      </c>
      <c r="G18" s="5" t="s">
        <v>30</v>
      </c>
    </row>
    <row r="19" customFormat="false" ht="31.5" hidden="false" customHeight="true" outlineLevel="0" collapsed="false">
      <c r="A19" s="4" t="s">
        <v>49</v>
      </c>
      <c r="B19" s="5" t="s">
        <v>17</v>
      </c>
      <c r="C19" s="5" t="s">
        <v>50</v>
      </c>
      <c r="D19" s="6" t="s">
        <v>12</v>
      </c>
      <c r="E19" s="7" t="s">
        <v>13</v>
      </c>
      <c r="F19" s="6" t="s">
        <v>42</v>
      </c>
      <c r="G19" s="5" t="s">
        <v>51</v>
      </c>
    </row>
    <row r="20" customFormat="false" ht="31.5" hidden="false" customHeight="true" outlineLevel="0" collapsed="false">
      <c r="A20" s="4" t="s">
        <v>52</v>
      </c>
      <c r="B20" s="5" t="s">
        <v>17</v>
      </c>
      <c r="C20" s="5" t="s">
        <v>53</v>
      </c>
      <c r="D20" s="6" t="s">
        <v>12</v>
      </c>
      <c r="E20" s="7" t="s">
        <v>13</v>
      </c>
      <c r="F20" s="6" t="s">
        <v>42</v>
      </c>
      <c r="G20" s="5" t="s">
        <v>54</v>
      </c>
    </row>
    <row r="21" customFormat="false" ht="31.5" hidden="false" customHeight="true" outlineLevel="0" collapsed="false">
      <c r="A21" s="8" t="s">
        <v>55</v>
      </c>
      <c r="B21" s="5" t="s">
        <v>56</v>
      </c>
      <c r="C21" s="5" t="s">
        <v>57</v>
      </c>
      <c r="D21" s="9" t="s">
        <v>58</v>
      </c>
      <c r="E21" s="7" t="s">
        <v>59</v>
      </c>
      <c r="F21" s="9" t="s">
        <v>42</v>
      </c>
      <c r="G21" s="5" t="s">
        <v>60</v>
      </c>
    </row>
    <row r="22" customFormat="false" ht="31.5" hidden="false" customHeight="true" outlineLevel="0" collapsed="false">
      <c r="A22" s="8" t="s">
        <v>61</v>
      </c>
      <c r="B22" s="5" t="s">
        <v>56</v>
      </c>
      <c r="C22" s="5" t="s">
        <v>57</v>
      </c>
      <c r="D22" s="9" t="s">
        <v>58</v>
      </c>
      <c r="E22" s="7" t="s">
        <v>59</v>
      </c>
      <c r="F22" s="9" t="s">
        <v>42</v>
      </c>
      <c r="G22" s="5" t="s">
        <v>62</v>
      </c>
    </row>
    <row r="23" customFormat="false" ht="31.5" hidden="false" customHeight="true" outlineLevel="0" collapsed="false">
      <c r="A23" s="8" t="s">
        <v>63</v>
      </c>
      <c r="B23" s="5" t="s">
        <v>64</v>
      </c>
      <c r="C23" s="5" t="s">
        <v>65</v>
      </c>
      <c r="D23" s="9" t="s">
        <v>58</v>
      </c>
      <c r="E23" s="7" t="s">
        <v>59</v>
      </c>
      <c r="F23" s="9" t="s">
        <v>42</v>
      </c>
      <c r="G23" s="5" t="s">
        <v>66</v>
      </c>
    </row>
    <row r="24" customFormat="false" ht="31.5" hidden="false" customHeight="true" outlineLevel="0" collapsed="false">
      <c r="A24" s="8" t="s">
        <v>67</v>
      </c>
      <c r="B24" s="5" t="s">
        <v>64</v>
      </c>
      <c r="C24" s="5" t="s">
        <v>65</v>
      </c>
      <c r="D24" s="9" t="s">
        <v>58</v>
      </c>
      <c r="E24" s="7" t="s">
        <v>59</v>
      </c>
      <c r="F24" s="9" t="s">
        <v>42</v>
      </c>
      <c r="G24" s="5" t="s">
        <v>66</v>
      </c>
    </row>
    <row r="25" customFormat="false" ht="31.5" hidden="false" customHeight="true" outlineLevel="0" collapsed="false">
      <c r="A25" s="8" t="s">
        <v>68</v>
      </c>
      <c r="B25" s="5" t="s">
        <v>64</v>
      </c>
      <c r="C25" s="5" t="s">
        <v>69</v>
      </c>
      <c r="D25" s="9" t="s">
        <v>58</v>
      </c>
      <c r="E25" s="7" t="s">
        <v>59</v>
      </c>
      <c r="F25" s="9" t="s">
        <v>42</v>
      </c>
      <c r="G25" s="5" t="s">
        <v>70</v>
      </c>
    </row>
    <row r="26" customFormat="false" ht="31.5" hidden="false" customHeight="true" outlineLevel="0" collapsed="false">
      <c r="A26" s="8" t="s">
        <v>71</v>
      </c>
      <c r="B26" s="5" t="s">
        <v>64</v>
      </c>
      <c r="C26" s="5" t="s">
        <v>69</v>
      </c>
      <c r="D26" s="9" t="s">
        <v>58</v>
      </c>
      <c r="E26" s="7" t="s">
        <v>59</v>
      </c>
      <c r="F26" s="9" t="s">
        <v>42</v>
      </c>
      <c r="G26" s="5" t="s">
        <v>30</v>
      </c>
    </row>
    <row r="27" customFormat="false" ht="31.5" hidden="false" customHeight="true" outlineLevel="0" collapsed="false">
      <c r="A27" s="10" t="s">
        <v>72</v>
      </c>
      <c r="B27" s="5" t="s">
        <v>56</v>
      </c>
      <c r="C27" s="5" t="s">
        <v>73</v>
      </c>
      <c r="D27" s="11" t="s">
        <v>74</v>
      </c>
      <c r="E27" s="7" t="s">
        <v>13</v>
      </c>
      <c r="F27" s="11" t="s">
        <v>74</v>
      </c>
      <c r="G27" s="5" t="s">
        <v>75</v>
      </c>
    </row>
    <row r="28" customFormat="false" ht="31.5" hidden="false" customHeight="true" outlineLevel="0" collapsed="false">
      <c r="A28" s="10" t="s">
        <v>76</v>
      </c>
      <c r="B28" s="5" t="s">
        <v>56</v>
      </c>
      <c r="C28" s="5" t="s">
        <v>73</v>
      </c>
      <c r="D28" s="11" t="s">
        <v>74</v>
      </c>
      <c r="E28" s="7" t="s">
        <v>13</v>
      </c>
      <c r="F28" s="11" t="s">
        <v>74</v>
      </c>
      <c r="G28" s="5" t="s">
        <v>30</v>
      </c>
    </row>
    <row r="29" customFormat="false" ht="31.5" hidden="false" customHeight="true" outlineLevel="0" collapsed="false">
      <c r="A29" s="10" t="s">
        <v>77</v>
      </c>
      <c r="B29" s="5" t="s">
        <v>56</v>
      </c>
      <c r="C29" s="5" t="s">
        <v>73</v>
      </c>
      <c r="D29" s="11" t="s">
        <v>74</v>
      </c>
      <c r="E29" s="7" t="s">
        <v>13</v>
      </c>
      <c r="F29" s="11" t="s">
        <v>74</v>
      </c>
      <c r="G29" s="5" t="s">
        <v>30</v>
      </c>
    </row>
    <row r="30" customFormat="false" ht="31.5" hidden="false" customHeight="true" outlineLevel="0" collapsed="false">
      <c r="A30" s="10" t="s">
        <v>78</v>
      </c>
      <c r="B30" s="5" t="s">
        <v>56</v>
      </c>
      <c r="C30" s="5" t="s">
        <v>73</v>
      </c>
      <c r="D30" s="11" t="s">
        <v>74</v>
      </c>
      <c r="E30" s="7" t="s">
        <v>13</v>
      </c>
      <c r="F30" s="11" t="s">
        <v>74</v>
      </c>
      <c r="G30" s="5" t="s">
        <v>30</v>
      </c>
    </row>
    <row r="31" customFormat="false" ht="31.5" hidden="false" customHeight="true" outlineLevel="0" collapsed="false">
      <c r="A31" s="10" t="s">
        <v>79</v>
      </c>
      <c r="B31" s="5" t="s">
        <v>56</v>
      </c>
      <c r="C31" s="5" t="s">
        <v>73</v>
      </c>
      <c r="D31" s="11" t="s">
        <v>74</v>
      </c>
      <c r="E31" s="7" t="s">
        <v>13</v>
      </c>
      <c r="F31" s="11" t="s">
        <v>74</v>
      </c>
      <c r="G31" s="5" t="s">
        <v>30</v>
      </c>
    </row>
    <row r="32" customFormat="false" ht="31.5" hidden="false" customHeight="true" outlineLevel="0" collapsed="false">
      <c r="A32" s="10" t="s">
        <v>80</v>
      </c>
      <c r="B32" s="5" t="s">
        <v>81</v>
      </c>
      <c r="C32" s="5" t="s">
        <v>73</v>
      </c>
      <c r="D32" s="11" t="s">
        <v>74</v>
      </c>
      <c r="E32" s="7" t="s">
        <v>13</v>
      </c>
      <c r="F32" s="11" t="s">
        <v>74</v>
      </c>
      <c r="G32" s="5" t="s">
        <v>82</v>
      </c>
    </row>
    <row r="33" customFormat="false" ht="31.5" hidden="false" customHeight="true" outlineLevel="0" collapsed="false">
      <c r="A33" s="10" t="s">
        <v>83</v>
      </c>
      <c r="B33" s="5" t="s">
        <v>10</v>
      </c>
      <c r="C33" s="5" t="s">
        <v>84</v>
      </c>
      <c r="D33" s="11" t="s">
        <v>74</v>
      </c>
      <c r="E33" s="7" t="s">
        <v>13</v>
      </c>
      <c r="F33" s="11" t="s">
        <v>74</v>
      </c>
      <c r="G33" s="5" t="s">
        <v>85</v>
      </c>
    </row>
    <row r="34" customFormat="false" ht="31.5" hidden="false" customHeight="true" outlineLevel="0" collapsed="false">
      <c r="A34" s="10" t="s">
        <v>86</v>
      </c>
      <c r="B34" s="5" t="s">
        <v>10</v>
      </c>
      <c r="C34" s="5" t="s">
        <v>87</v>
      </c>
      <c r="D34" s="11" t="s">
        <v>74</v>
      </c>
      <c r="E34" s="7" t="s">
        <v>13</v>
      </c>
      <c r="F34" s="11" t="s">
        <v>74</v>
      </c>
      <c r="G34" s="5" t="s">
        <v>88</v>
      </c>
    </row>
    <row r="35" customFormat="false" ht="31.5" hidden="false" customHeight="true" outlineLevel="0" collapsed="false">
      <c r="A35" s="10" t="s">
        <v>89</v>
      </c>
      <c r="B35" s="5" t="s">
        <v>10</v>
      </c>
      <c r="C35" s="5" t="s">
        <v>90</v>
      </c>
      <c r="D35" s="11" t="s">
        <v>74</v>
      </c>
      <c r="E35" s="7" t="s">
        <v>13</v>
      </c>
      <c r="F35" s="11" t="s">
        <v>74</v>
      </c>
      <c r="G35" s="5" t="s">
        <v>91</v>
      </c>
    </row>
    <row r="36" customFormat="false" ht="31.5" hidden="false" customHeight="true" outlineLevel="0" collapsed="false">
      <c r="A36" s="10" t="s">
        <v>92</v>
      </c>
      <c r="B36" s="5" t="s">
        <v>10</v>
      </c>
      <c r="C36" s="5" t="s">
        <v>93</v>
      </c>
      <c r="D36" s="11" t="s">
        <v>74</v>
      </c>
      <c r="E36" s="7" t="s">
        <v>13</v>
      </c>
      <c r="F36" s="11" t="s">
        <v>74</v>
      </c>
      <c r="G36" s="5" t="s">
        <v>94</v>
      </c>
    </row>
    <row r="37" customFormat="false" ht="31.5" hidden="false" customHeight="true" outlineLevel="0" collapsed="false">
      <c r="A37" s="10" t="s">
        <v>95</v>
      </c>
      <c r="B37" s="5" t="s">
        <v>17</v>
      </c>
      <c r="C37" s="5" t="s">
        <v>73</v>
      </c>
      <c r="D37" s="11" t="s">
        <v>74</v>
      </c>
      <c r="E37" s="7" t="s">
        <v>13</v>
      </c>
      <c r="F37" s="11" t="s">
        <v>74</v>
      </c>
      <c r="G37" s="5" t="s">
        <v>96</v>
      </c>
    </row>
    <row r="38" customFormat="false" ht="31.5" hidden="false" customHeight="true" outlineLevel="0" collapsed="false">
      <c r="A38" s="12" t="s">
        <v>97</v>
      </c>
      <c r="B38" s="5" t="s">
        <v>56</v>
      </c>
      <c r="C38" s="5" t="s">
        <v>98</v>
      </c>
      <c r="D38" s="13" t="s">
        <v>99</v>
      </c>
      <c r="E38" s="7" t="s">
        <v>13</v>
      </c>
      <c r="F38" s="13" t="s">
        <v>100</v>
      </c>
      <c r="G38" s="5" t="s">
        <v>101</v>
      </c>
    </row>
    <row r="39" customFormat="false" ht="31.5" hidden="false" customHeight="true" outlineLevel="0" collapsed="false">
      <c r="A39" s="12" t="s">
        <v>102</v>
      </c>
      <c r="B39" s="5" t="s">
        <v>56</v>
      </c>
      <c r="C39" s="5" t="s">
        <v>98</v>
      </c>
      <c r="D39" s="13" t="s">
        <v>99</v>
      </c>
      <c r="E39" s="7" t="s">
        <v>13</v>
      </c>
      <c r="F39" s="13" t="s">
        <v>100</v>
      </c>
      <c r="G39" s="5" t="s">
        <v>30</v>
      </c>
    </row>
    <row r="40" customFormat="false" ht="31.5" hidden="false" customHeight="true" outlineLevel="0" collapsed="false">
      <c r="A40" s="12" t="s">
        <v>103</v>
      </c>
      <c r="B40" s="5" t="s">
        <v>56</v>
      </c>
      <c r="C40" s="5" t="s">
        <v>98</v>
      </c>
      <c r="D40" s="13" t="s">
        <v>99</v>
      </c>
      <c r="E40" s="7" t="s">
        <v>13</v>
      </c>
      <c r="F40" s="13" t="s">
        <v>100</v>
      </c>
      <c r="G40" s="5" t="s">
        <v>30</v>
      </c>
    </row>
    <row r="41" customFormat="false" ht="31.5" hidden="false" customHeight="true" outlineLevel="0" collapsed="false">
      <c r="A41" s="12" t="s">
        <v>104</v>
      </c>
      <c r="B41" s="5" t="s">
        <v>56</v>
      </c>
      <c r="C41" s="5" t="s">
        <v>105</v>
      </c>
      <c r="D41" s="13" t="s">
        <v>99</v>
      </c>
      <c r="E41" s="7" t="s">
        <v>13</v>
      </c>
      <c r="F41" s="13" t="s">
        <v>100</v>
      </c>
      <c r="G41" s="5" t="s">
        <v>106</v>
      </c>
    </row>
    <row r="42" customFormat="false" ht="31.5" hidden="false" customHeight="true" outlineLevel="0" collapsed="false">
      <c r="A42" s="12" t="s">
        <v>107</v>
      </c>
      <c r="B42" s="5" t="s">
        <v>56</v>
      </c>
      <c r="C42" s="5" t="s">
        <v>105</v>
      </c>
      <c r="D42" s="13" t="s">
        <v>99</v>
      </c>
      <c r="E42" s="7" t="s">
        <v>13</v>
      </c>
      <c r="F42" s="13" t="s">
        <v>100</v>
      </c>
      <c r="G42" s="5" t="s">
        <v>30</v>
      </c>
    </row>
    <row r="43" customFormat="false" ht="31.5" hidden="false" customHeight="true" outlineLevel="0" collapsed="false">
      <c r="A43" s="12" t="s">
        <v>108</v>
      </c>
      <c r="B43" s="5" t="s">
        <v>56</v>
      </c>
      <c r="C43" s="5" t="s">
        <v>105</v>
      </c>
      <c r="D43" s="13" t="s">
        <v>99</v>
      </c>
      <c r="E43" s="7" t="s">
        <v>13</v>
      </c>
      <c r="F43" s="13" t="s">
        <v>100</v>
      </c>
      <c r="G43" s="5" t="s">
        <v>30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5"/>
    <col collapsed="false" customWidth="true" hidden="false" outlineLevel="0" max="3" min="3" style="0" width="11"/>
    <col collapsed="false" customWidth="true" hidden="false" outlineLevel="0" max="4" min="4" style="0" width="7"/>
    <col collapsed="false" customWidth="true" hidden="false" outlineLevel="0" max="5" min="5" style="0" width="16"/>
    <col collapsed="false" customWidth="true" hidden="false" outlineLevel="0" max="6" min="6" style="0" width="7"/>
    <col collapsed="false" customWidth="true" hidden="false" outlineLevel="0" max="8" min="7" style="0" width="24"/>
    <col collapsed="false" customWidth="true" hidden="false" outlineLevel="0" max="10" min="9" style="0" width="6"/>
    <col collapsed="false" customWidth="true" hidden="false" outlineLevel="0" max="14" min="11" style="0" width="7"/>
    <col collapsed="false" customWidth="true" hidden="false" outlineLevel="0" max="17" min="15" style="0" width="8"/>
    <col collapsed="false" customWidth="true" hidden="false" outlineLevel="0" max="19" min="18" style="0" width="7"/>
    <col collapsed="false" customWidth="true" hidden="false" outlineLevel="0" max="20" min="20" style="0" width="8"/>
    <col collapsed="false" customWidth="true" hidden="false" outlineLevel="0" max="21" min="21" style="0" width="7"/>
    <col collapsed="false" customWidth="true" hidden="false" outlineLevel="0" max="24" min="22" style="0" width="11"/>
    <col collapsed="false" customWidth="true" hidden="false" outlineLevel="0" max="25" min="25" style="0" width="9"/>
  </cols>
  <sheetData>
    <row r="1" customFormat="false" ht="17.35" hidden="false" customHeight="false" outlineLevel="0" collapsed="false">
      <c r="A1" s="1" t="s">
        <v>109</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true" outlineLevel="0" collapsed="false">
      <c r="A2" s="2" t="s">
        <v>110</v>
      </c>
      <c r="B2" s="2"/>
      <c r="C2" s="2"/>
      <c r="D2" s="2"/>
      <c r="E2" s="2"/>
      <c r="F2" s="2"/>
      <c r="G2" s="2"/>
      <c r="H2" s="2"/>
      <c r="I2" s="2"/>
      <c r="J2" s="2"/>
      <c r="K2" s="2"/>
      <c r="L2" s="2"/>
      <c r="M2" s="2"/>
      <c r="N2" s="2"/>
      <c r="O2" s="2"/>
      <c r="P2" s="2"/>
      <c r="Q2" s="2"/>
      <c r="R2" s="2"/>
      <c r="S2" s="2"/>
      <c r="T2" s="2"/>
      <c r="U2" s="2"/>
      <c r="V2" s="2"/>
      <c r="W2" s="2"/>
      <c r="X2" s="2"/>
      <c r="Y2" s="2"/>
      <c r="Z2" s="2"/>
    </row>
    <row r="4" customFormat="false" ht="27.75" hidden="false" customHeight="true" outlineLevel="0" collapsed="false">
      <c r="A4" s="3" t="s">
        <v>9</v>
      </c>
      <c r="B4" s="3" t="s">
        <v>111</v>
      </c>
      <c r="C4" s="3" t="s">
        <v>112</v>
      </c>
      <c r="D4" s="3" t="s">
        <v>24</v>
      </c>
      <c r="E4" s="3" t="s">
        <v>113</v>
      </c>
      <c r="F4" s="3" t="s">
        <v>114</v>
      </c>
      <c r="G4" s="3" t="s">
        <v>115</v>
      </c>
      <c r="H4" s="3" t="s">
        <v>116</v>
      </c>
      <c r="I4" s="3" t="s">
        <v>117</v>
      </c>
      <c r="J4" s="3" t="s">
        <v>118</v>
      </c>
      <c r="K4" s="3" t="s">
        <v>119</v>
      </c>
      <c r="L4" s="3" t="s">
        <v>120</v>
      </c>
      <c r="M4" s="3" t="s">
        <v>121</v>
      </c>
      <c r="N4" s="3" t="s">
        <v>122</v>
      </c>
      <c r="O4" s="3" t="s">
        <v>72</v>
      </c>
      <c r="P4" s="3" t="s">
        <v>76</v>
      </c>
      <c r="Q4" s="3" t="s">
        <v>77</v>
      </c>
      <c r="R4" s="3" t="s">
        <v>123</v>
      </c>
      <c r="S4" s="3" t="s">
        <v>124</v>
      </c>
      <c r="T4" s="3" t="s">
        <v>125</v>
      </c>
      <c r="U4" s="3" t="s">
        <v>126</v>
      </c>
      <c r="V4" s="3" t="s">
        <v>127</v>
      </c>
      <c r="W4" s="3" t="s">
        <v>128</v>
      </c>
      <c r="X4" s="3" t="s">
        <v>129</v>
      </c>
      <c r="Y4" s="3" t="s">
        <v>130</v>
      </c>
    </row>
    <row r="5" customFormat="false" ht="21.75" hidden="false" customHeight="true" outlineLevel="0" collapsed="false">
      <c r="A5" s="5" t="s">
        <v>131</v>
      </c>
      <c r="B5" s="7" t="n">
        <v>1</v>
      </c>
      <c r="C5" s="5" t="s">
        <v>132</v>
      </c>
      <c r="D5" s="5" t="s">
        <v>133</v>
      </c>
      <c r="E5" s="5" t="s">
        <v>134</v>
      </c>
      <c r="F5" s="7" t="n">
        <v>2240</v>
      </c>
      <c r="G5" s="5" t="s">
        <v>135</v>
      </c>
      <c r="H5" s="5" t="s">
        <v>136</v>
      </c>
      <c r="I5" s="6" t="n">
        <v>15</v>
      </c>
      <c r="J5" s="6" t="n">
        <v>61</v>
      </c>
      <c r="K5" s="6" t="n">
        <v>1834</v>
      </c>
      <c r="L5" s="6" t="n">
        <v>1529</v>
      </c>
      <c r="M5" s="6" t="n">
        <v>75</v>
      </c>
      <c r="N5" s="6" t="n">
        <v>16</v>
      </c>
      <c r="O5" s="14" t="n">
        <v>0.743879347645226</v>
      </c>
      <c r="P5" s="14" t="n">
        <v>0.18</v>
      </c>
      <c r="Q5" s="14" t="n">
        <v>0.0761206523547738</v>
      </c>
      <c r="R5" s="15" t="n">
        <v>2.05123801821606</v>
      </c>
      <c r="S5" s="15" t="n">
        <v>0.448761981783942</v>
      </c>
      <c r="T5" s="16" t="s">
        <v>137</v>
      </c>
      <c r="U5" s="11" t="n">
        <v>38</v>
      </c>
      <c r="V5" s="17"/>
      <c r="W5" s="17"/>
      <c r="X5" s="17"/>
      <c r="Y5" s="18" t="str">
        <f aca="false">IF(ISNUMBER(V5),(O5-V5)*100,"pending")</f>
        <v>pending</v>
      </c>
    </row>
    <row r="6" customFormat="false" ht="21.75" hidden="false" customHeight="true" outlineLevel="0" collapsed="false">
      <c r="A6" s="5" t="s">
        <v>138</v>
      </c>
      <c r="B6" s="7" t="n">
        <v>2</v>
      </c>
      <c r="C6" s="5" t="s">
        <v>132</v>
      </c>
      <c r="D6" s="5" t="s">
        <v>133</v>
      </c>
      <c r="E6" s="5" t="s">
        <v>139</v>
      </c>
      <c r="F6" s="7" t="n">
        <v>1557</v>
      </c>
      <c r="G6" s="5" t="s">
        <v>140</v>
      </c>
      <c r="H6" s="5" t="s">
        <v>141</v>
      </c>
      <c r="I6" s="6" t="n">
        <v>22</v>
      </c>
      <c r="J6" s="6" t="n">
        <v>44</v>
      </c>
      <c r="K6" s="6" t="n">
        <v>1784</v>
      </c>
      <c r="L6" s="6" t="n">
        <v>1731</v>
      </c>
      <c r="M6" s="6" t="n">
        <v>0</v>
      </c>
      <c r="N6" s="6" t="n">
        <v>7</v>
      </c>
      <c r="O6" s="14" t="n">
        <v>0.439124009003857</v>
      </c>
      <c r="P6" s="14" t="n">
        <v>0.25</v>
      </c>
      <c r="Q6" s="14" t="n">
        <v>0.310875990996143</v>
      </c>
      <c r="R6" s="15" t="n">
        <v>1.39327908440573</v>
      </c>
      <c r="S6" s="15" t="n">
        <v>1.10672091559427</v>
      </c>
      <c r="T6" s="16" t="s">
        <v>142</v>
      </c>
      <c r="U6" s="11" t="n">
        <v>38</v>
      </c>
      <c r="V6" s="17"/>
      <c r="W6" s="17"/>
      <c r="X6" s="17"/>
      <c r="Y6" s="18" t="str">
        <f aca="false">IF(ISNUMBER(V6),(O6-V6)*100,"pending")</f>
        <v>pending</v>
      </c>
    </row>
    <row r="7" customFormat="false" ht="21.75" hidden="false" customHeight="true" outlineLevel="0" collapsed="false">
      <c r="A7" s="5" t="s">
        <v>143</v>
      </c>
      <c r="B7" s="7" t="n">
        <v>3</v>
      </c>
      <c r="C7" s="5" t="s">
        <v>144</v>
      </c>
      <c r="D7" s="5" t="s">
        <v>145</v>
      </c>
      <c r="E7" s="5" t="s">
        <v>146</v>
      </c>
      <c r="F7" s="7" t="n">
        <v>76</v>
      </c>
      <c r="G7" s="5" t="s">
        <v>147</v>
      </c>
      <c r="H7" s="5" t="s">
        <v>148</v>
      </c>
      <c r="I7" s="6" t="n">
        <v>27</v>
      </c>
      <c r="J7" s="6" t="n">
        <v>71</v>
      </c>
      <c r="K7" s="6" t="n">
        <v>1806</v>
      </c>
      <c r="L7" s="6" t="n">
        <v>1571</v>
      </c>
      <c r="M7" s="6" t="n">
        <v>75</v>
      </c>
      <c r="N7" s="6" t="n">
        <v>0</v>
      </c>
      <c r="O7" s="14" t="n">
        <v>0.702126689280484</v>
      </c>
      <c r="P7" s="14" t="n">
        <v>0.18</v>
      </c>
      <c r="Q7" s="14" t="n">
        <v>0.117873310719517</v>
      </c>
      <c r="R7" s="15" t="n">
        <v>1.91670463400764</v>
      </c>
      <c r="S7" s="15" t="n">
        <v>0.583295365992358</v>
      </c>
      <c r="T7" s="16" t="s">
        <v>142</v>
      </c>
      <c r="U7" s="11" t="n">
        <v>38</v>
      </c>
      <c r="V7" s="17"/>
      <c r="W7" s="17"/>
      <c r="X7" s="17"/>
      <c r="Y7" s="18" t="str">
        <f aca="false">IF(ISNUMBER(V7),(O7-V7)*100,"pending")</f>
        <v>pending</v>
      </c>
    </row>
    <row r="8" customFormat="false" ht="21.75" hidden="false" customHeight="true" outlineLevel="0" collapsed="false">
      <c r="A8" s="5" t="s">
        <v>149</v>
      </c>
      <c r="B8" s="7" t="n">
        <v>4</v>
      </c>
      <c r="C8" s="5" t="s">
        <v>144</v>
      </c>
      <c r="D8" s="5" t="s">
        <v>150</v>
      </c>
      <c r="E8" s="5" t="s">
        <v>151</v>
      </c>
      <c r="F8" s="7" t="n">
        <v>30</v>
      </c>
      <c r="G8" s="5" t="s">
        <v>152</v>
      </c>
      <c r="H8" s="5" t="s">
        <v>153</v>
      </c>
      <c r="I8" s="6" t="n">
        <v>14</v>
      </c>
      <c r="J8" s="6" t="n">
        <v>39</v>
      </c>
      <c r="K8" s="6" t="n">
        <v>1747</v>
      </c>
      <c r="L8" s="6" t="n">
        <v>1833</v>
      </c>
      <c r="M8" s="6" t="n">
        <v>75</v>
      </c>
      <c r="N8" s="6" t="n">
        <v>0</v>
      </c>
      <c r="O8" s="14" t="n">
        <v>0.348606010609391</v>
      </c>
      <c r="P8" s="14" t="n">
        <v>0.28</v>
      </c>
      <c r="Q8" s="14" t="n">
        <v>0.371393989390609</v>
      </c>
      <c r="R8" s="15" t="n">
        <v>1.22362012982954</v>
      </c>
      <c r="S8" s="15" t="n">
        <v>1.27637987017046</v>
      </c>
      <c r="T8" s="16" t="s">
        <v>142</v>
      </c>
      <c r="U8" s="11" t="n">
        <v>38</v>
      </c>
      <c r="V8" s="17"/>
      <c r="W8" s="17"/>
      <c r="X8" s="17"/>
      <c r="Y8" s="18" t="str">
        <f aca="false">IF(ISNUMBER(V8),(O8-V8)*100,"pending")</f>
        <v>pending</v>
      </c>
    </row>
    <row r="9" customFormat="false" ht="21.75" hidden="false" customHeight="true" outlineLevel="0" collapsed="false">
      <c r="A9" s="5" t="s">
        <v>154</v>
      </c>
      <c r="B9" s="7" t="n">
        <v>5</v>
      </c>
      <c r="C9" s="5" t="s">
        <v>155</v>
      </c>
      <c r="D9" s="5" t="s">
        <v>156</v>
      </c>
      <c r="E9" s="5" t="s">
        <v>157</v>
      </c>
      <c r="F9" s="7" t="n">
        <v>70</v>
      </c>
      <c r="G9" s="5" t="s">
        <v>158</v>
      </c>
      <c r="H9" s="5" t="s">
        <v>159</v>
      </c>
      <c r="I9" s="6" t="n">
        <v>84</v>
      </c>
      <c r="J9" s="6" t="n">
        <v>36</v>
      </c>
      <c r="K9" s="6" t="n">
        <v>1542</v>
      </c>
      <c r="L9" s="6" t="n">
        <v>1790</v>
      </c>
      <c r="M9" s="6" t="n">
        <v>0</v>
      </c>
      <c r="N9" s="6" t="n">
        <v>0</v>
      </c>
      <c r="O9" s="14" t="n">
        <v>0.150908532202656</v>
      </c>
      <c r="P9" s="14" t="n">
        <v>0.22</v>
      </c>
      <c r="Q9" s="14" t="n">
        <v>0.629091467797344</v>
      </c>
      <c r="R9" s="15" t="n">
        <v>0.696339997096724</v>
      </c>
      <c r="S9" s="15" t="n">
        <v>1.80366000290328</v>
      </c>
      <c r="T9" s="16" t="s">
        <v>137</v>
      </c>
      <c r="U9" s="11" t="n">
        <v>38</v>
      </c>
      <c r="V9" s="17"/>
      <c r="W9" s="17"/>
      <c r="X9" s="17"/>
      <c r="Y9" s="18" t="str">
        <f aca="false">IF(ISNUMBER(V9),(O9-V9)*100,"pending")</f>
        <v>pending</v>
      </c>
    </row>
    <row r="10" customFormat="false" ht="21.75" hidden="false" customHeight="true" outlineLevel="0" collapsed="false">
      <c r="A10" s="5" t="s">
        <v>160</v>
      </c>
      <c r="B10" s="7" t="n">
        <v>6</v>
      </c>
      <c r="C10" s="5" t="s">
        <v>155</v>
      </c>
      <c r="D10" s="5" t="s">
        <v>150</v>
      </c>
      <c r="E10" s="5" t="s">
        <v>161</v>
      </c>
      <c r="F10" s="7" t="n">
        <v>5</v>
      </c>
      <c r="G10" s="5" t="s">
        <v>162</v>
      </c>
      <c r="H10" s="5" t="s">
        <v>163</v>
      </c>
      <c r="I10" s="6" t="n">
        <v>26</v>
      </c>
      <c r="J10" s="6" t="n">
        <v>25</v>
      </c>
      <c r="K10" s="6" t="n">
        <v>1774</v>
      </c>
      <c r="L10" s="6" t="n">
        <v>1880</v>
      </c>
      <c r="M10" s="6" t="n">
        <v>0</v>
      </c>
      <c r="N10" s="6" t="n">
        <v>0</v>
      </c>
      <c r="O10" s="14" t="n">
        <v>0.264012740062271</v>
      </c>
      <c r="P10" s="14" t="n">
        <v>0.25</v>
      </c>
      <c r="Q10" s="14" t="n">
        <v>0.485987259937729</v>
      </c>
      <c r="R10" s="15" t="n">
        <v>0.99920515043541</v>
      </c>
      <c r="S10" s="15" t="n">
        <v>1.50079484956459</v>
      </c>
      <c r="T10" s="16" t="s">
        <v>142</v>
      </c>
      <c r="U10" s="11" t="n">
        <v>38</v>
      </c>
      <c r="V10" s="17"/>
      <c r="W10" s="17"/>
      <c r="X10" s="17"/>
      <c r="Y10" s="18" t="str">
        <f aca="false">IF(ISNUMBER(V10),(O10-V10)*100,"pending")</f>
        <v>pending</v>
      </c>
    </row>
    <row r="11" customFormat="false" ht="21.75" hidden="false" customHeight="true" outlineLevel="0" collapsed="false">
      <c r="A11" s="5" t="s">
        <v>164</v>
      </c>
      <c r="B11" s="7" t="n">
        <v>7</v>
      </c>
      <c r="C11" s="5" t="s">
        <v>155</v>
      </c>
      <c r="D11" s="5" t="s">
        <v>156</v>
      </c>
      <c r="E11" s="5" t="s">
        <v>165</v>
      </c>
      <c r="F11" s="7" t="n">
        <v>8</v>
      </c>
      <c r="G11" s="5" t="s">
        <v>166</v>
      </c>
      <c r="H11" s="5" t="s">
        <v>167</v>
      </c>
      <c r="I11" s="6" t="n">
        <v>5</v>
      </c>
      <c r="J11" s="6" t="n">
        <v>11</v>
      </c>
      <c r="K11" s="6" t="n">
        <v>1979</v>
      </c>
      <c r="L11" s="6" t="n">
        <v>1806</v>
      </c>
      <c r="M11" s="6" t="n">
        <v>0</v>
      </c>
      <c r="N11" s="6" t="n">
        <v>0</v>
      </c>
      <c r="O11" s="14" t="n">
        <v>0.569591422371991</v>
      </c>
      <c r="P11" s="14" t="n">
        <v>0.22</v>
      </c>
      <c r="Q11" s="14" t="n">
        <v>0.210408577628009</v>
      </c>
      <c r="R11" s="15" t="n">
        <v>1.65034656148118</v>
      </c>
      <c r="S11" s="15" t="n">
        <v>0.849653438518822</v>
      </c>
      <c r="T11" s="16" t="s">
        <v>137</v>
      </c>
      <c r="U11" s="11" t="n">
        <v>38</v>
      </c>
      <c r="V11" s="17"/>
      <c r="W11" s="17"/>
      <c r="X11" s="17"/>
      <c r="Y11" s="18" t="str">
        <f aca="false">IF(ISNUMBER(V11),(O11-V11)*100,"pending")</f>
        <v>pending</v>
      </c>
    </row>
    <row r="12" customFormat="false" ht="21.75" hidden="false" customHeight="true" outlineLevel="0" collapsed="false">
      <c r="A12" s="5" t="s">
        <v>168</v>
      </c>
      <c r="B12" s="7" t="n">
        <v>8</v>
      </c>
      <c r="C12" s="5" t="s">
        <v>155</v>
      </c>
      <c r="D12" s="5" t="s">
        <v>145</v>
      </c>
      <c r="E12" s="5" t="s">
        <v>169</v>
      </c>
      <c r="F12" s="7" t="n">
        <v>4</v>
      </c>
      <c r="G12" s="5" t="s">
        <v>170</v>
      </c>
      <c r="H12" s="5" t="s">
        <v>171</v>
      </c>
      <c r="I12" s="6" t="n">
        <v>51</v>
      </c>
      <c r="J12" s="6" t="n">
        <v>17</v>
      </c>
      <c r="K12" s="6" t="n">
        <v>1427</v>
      </c>
      <c r="L12" s="6" t="n">
        <v>1897</v>
      </c>
      <c r="M12" s="6" t="n">
        <v>0</v>
      </c>
      <c r="N12" s="6" t="n">
        <v>0</v>
      </c>
      <c r="O12" s="14" t="n">
        <v>0.0513708609921873</v>
      </c>
      <c r="P12" s="14" t="n">
        <v>0.18</v>
      </c>
      <c r="Q12" s="14" t="n">
        <v>0.768629139007813</v>
      </c>
      <c r="R12" s="15" t="n">
        <v>0.353505689777634</v>
      </c>
      <c r="S12" s="15" t="n">
        <v>2.14649431022237</v>
      </c>
      <c r="T12" s="16" t="s">
        <v>137</v>
      </c>
      <c r="U12" s="11" t="n">
        <v>38</v>
      </c>
      <c r="V12" s="17"/>
      <c r="W12" s="17"/>
      <c r="X12" s="17"/>
      <c r="Y12" s="18" t="str">
        <f aca="false">IF(ISNUMBER(V12),(O12-V12)*100,"pending")</f>
        <v>pending</v>
      </c>
    </row>
    <row r="13" customFormat="false" ht="21.75" hidden="false" customHeight="true" outlineLevel="0" collapsed="false">
      <c r="A13" s="5" t="s">
        <v>172</v>
      </c>
      <c r="B13" s="7" t="n">
        <v>9</v>
      </c>
      <c r="C13" s="5" t="s">
        <v>173</v>
      </c>
      <c r="D13" s="5" t="s">
        <v>174</v>
      </c>
      <c r="E13" s="5" t="s">
        <v>175</v>
      </c>
      <c r="F13" s="7" t="n">
        <v>10</v>
      </c>
      <c r="G13" s="5" t="s">
        <v>176</v>
      </c>
      <c r="H13" s="5" t="s">
        <v>177</v>
      </c>
      <c r="I13" s="6" t="n">
        <v>42</v>
      </c>
      <c r="J13" s="6" t="n">
        <v>23</v>
      </c>
      <c r="K13" s="6" t="n">
        <v>1637</v>
      </c>
      <c r="L13" s="6" t="n">
        <v>1933</v>
      </c>
      <c r="M13" s="6" t="n">
        <v>0</v>
      </c>
      <c r="N13" s="6" t="n">
        <v>0</v>
      </c>
      <c r="O13" s="14" t="n">
        <v>0.120084821662966</v>
      </c>
      <c r="P13" s="14" t="n">
        <v>0.22</v>
      </c>
      <c r="Q13" s="14" t="n">
        <v>0.659915178337034</v>
      </c>
      <c r="R13" s="15" t="n">
        <v>0.607665493430982</v>
      </c>
      <c r="S13" s="15" t="n">
        <v>1.89233450656902</v>
      </c>
      <c r="T13" s="16" t="s">
        <v>137</v>
      </c>
      <c r="U13" s="11" t="n">
        <v>38</v>
      </c>
      <c r="V13" s="17"/>
      <c r="W13" s="17"/>
      <c r="X13" s="17"/>
      <c r="Y13" s="18" t="str">
        <f aca="false">IF(ISNUMBER(V13),(O13-V13)*100,"pending")</f>
        <v>pending</v>
      </c>
    </row>
    <row r="14" customFormat="false" ht="21.75" hidden="false" customHeight="true" outlineLevel="0" collapsed="false">
      <c r="A14" s="5" t="s">
        <v>178</v>
      </c>
      <c r="B14" s="7" t="n">
        <v>10</v>
      </c>
      <c r="C14" s="5" t="s">
        <v>173</v>
      </c>
      <c r="D14" s="5" t="s">
        <v>174</v>
      </c>
      <c r="E14" s="5" t="s">
        <v>179</v>
      </c>
      <c r="F14" s="7" t="n">
        <v>15</v>
      </c>
      <c r="G14" s="5" t="s">
        <v>180</v>
      </c>
      <c r="H14" s="5" t="s">
        <v>181</v>
      </c>
      <c r="I14" s="6" t="n">
        <v>9</v>
      </c>
      <c r="J14" s="6" t="n">
        <v>82</v>
      </c>
      <c r="K14" s="6" t="n">
        <v>1910</v>
      </c>
      <c r="L14" s="6" t="n">
        <v>1467</v>
      </c>
      <c r="M14" s="6" t="n">
        <v>0</v>
      </c>
      <c r="N14" s="6" t="n">
        <v>0</v>
      </c>
      <c r="O14" s="14" t="n">
        <v>0.760616506160237</v>
      </c>
      <c r="P14" s="14" t="n">
        <v>0.18</v>
      </c>
      <c r="Q14" s="14" t="n">
        <v>0.0593834938397628</v>
      </c>
      <c r="R14" s="15" t="n">
        <v>2.11386143199677</v>
      </c>
      <c r="S14" s="15" t="n">
        <v>0.386138568003227</v>
      </c>
      <c r="T14" s="16" t="s">
        <v>137</v>
      </c>
      <c r="U14" s="11" t="n">
        <v>38</v>
      </c>
      <c r="V14" s="17"/>
      <c r="W14" s="17"/>
      <c r="X14" s="17"/>
      <c r="Y14" s="18" t="str">
        <f aca="false">IF(ISNUMBER(V14),(O14-V14)*100,"pending")</f>
        <v>pending</v>
      </c>
    </row>
    <row r="15" customFormat="false" ht="21.75" hidden="false" customHeight="true" outlineLevel="0" collapsed="false">
      <c r="A15" s="5" t="s">
        <v>182</v>
      </c>
      <c r="B15" s="7" t="n">
        <v>11</v>
      </c>
      <c r="C15" s="5" t="s">
        <v>173</v>
      </c>
      <c r="D15" s="5" t="s">
        <v>183</v>
      </c>
      <c r="E15" s="5" t="s">
        <v>184</v>
      </c>
      <c r="F15" s="7" t="n">
        <v>180</v>
      </c>
      <c r="G15" s="5" t="s">
        <v>185</v>
      </c>
      <c r="H15" s="5" t="s">
        <v>186</v>
      </c>
      <c r="I15" s="6" t="n">
        <v>7</v>
      </c>
      <c r="J15" s="6" t="n">
        <v>18</v>
      </c>
      <c r="K15" s="6" t="n">
        <v>1959</v>
      </c>
      <c r="L15" s="6" t="n">
        <v>1879</v>
      </c>
      <c r="M15" s="6" t="n">
        <v>0</v>
      </c>
      <c r="N15" s="6" t="n">
        <v>0</v>
      </c>
      <c r="O15" s="14" t="n">
        <v>0.459852615114857</v>
      </c>
      <c r="P15" s="14" t="n">
        <v>0.25</v>
      </c>
      <c r="Q15" s="14" t="n">
        <v>0.290147384885143</v>
      </c>
      <c r="R15" s="15" t="n">
        <v>1.44038899351314</v>
      </c>
      <c r="S15" s="15" t="n">
        <v>1.05961100648686</v>
      </c>
      <c r="T15" s="16" t="s">
        <v>142</v>
      </c>
      <c r="U15" s="11" t="n">
        <v>38</v>
      </c>
      <c r="V15" s="17"/>
      <c r="W15" s="17"/>
      <c r="X15" s="17"/>
      <c r="Y15" s="18" t="str">
        <f aca="false">IF(ISNUMBER(V15),(O15-V15)*100,"pending")</f>
        <v>pending</v>
      </c>
    </row>
    <row r="16" customFormat="false" ht="21.75" hidden="false" customHeight="true" outlineLevel="0" collapsed="false">
      <c r="A16" s="5" t="s">
        <v>187</v>
      </c>
      <c r="B16" s="7" t="n">
        <v>12</v>
      </c>
      <c r="C16" s="5" t="s">
        <v>173</v>
      </c>
      <c r="D16" s="5" t="s">
        <v>183</v>
      </c>
      <c r="E16" s="5" t="s">
        <v>188</v>
      </c>
      <c r="F16" s="7" t="n">
        <v>530</v>
      </c>
      <c r="G16" s="5" t="s">
        <v>189</v>
      </c>
      <c r="H16" s="5" t="s">
        <v>190</v>
      </c>
      <c r="I16" s="6" t="n">
        <v>43</v>
      </c>
      <c r="J16" s="6" t="n">
        <v>40</v>
      </c>
      <c r="K16" s="6" t="n">
        <v>1660</v>
      </c>
      <c r="L16" s="6" t="n">
        <v>1614</v>
      </c>
      <c r="M16" s="6" t="n">
        <v>0</v>
      </c>
      <c r="N16" s="6" t="n">
        <v>0</v>
      </c>
      <c r="O16" s="14" t="n">
        <v>0.407386946209848</v>
      </c>
      <c r="P16" s="14" t="n">
        <v>0.28</v>
      </c>
      <c r="Q16" s="14" t="n">
        <v>0.312613053790152</v>
      </c>
      <c r="R16" s="15" t="n">
        <v>1.36004656546185</v>
      </c>
      <c r="S16" s="15" t="n">
        <v>1.13995343453815</v>
      </c>
      <c r="T16" s="16" t="s">
        <v>142</v>
      </c>
      <c r="U16" s="11" t="n">
        <v>38</v>
      </c>
      <c r="V16" s="17"/>
      <c r="W16" s="17"/>
      <c r="X16" s="17"/>
      <c r="Y16" s="18" t="str">
        <f aca="false">IF(ISNUMBER(V16),(O16-V16)*100,"pending")</f>
        <v>pending</v>
      </c>
    </row>
    <row r="17" customFormat="false" ht="21.75" hidden="false" customHeight="true" outlineLevel="0" collapsed="false">
      <c r="A17" s="5" t="s">
        <v>191</v>
      </c>
      <c r="B17" s="7" t="n">
        <v>13</v>
      </c>
      <c r="C17" s="5" t="s">
        <v>192</v>
      </c>
      <c r="D17" s="5" t="s">
        <v>193</v>
      </c>
      <c r="E17" s="5" t="s">
        <v>194</v>
      </c>
      <c r="F17" s="7" t="n">
        <v>3</v>
      </c>
      <c r="G17" s="5" t="s">
        <v>195</v>
      </c>
      <c r="H17" s="5" t="s">
        <v>196</v>
      </c>
      <c r="I17" s="6" t="n">
        <v>60</v>
      </c>
      <c r="J17" s="6" t="n">
        <v>16</v>
      </c>
      <c r="K17" s="6" t="n">
        <v>1592</v>
      </c>
      <c r="L17" s="6" t="n">
        <v>1890</v>
      </c>
      <c r="M17" s="6" t="n">
        <v>0</v>
      </c>
      <c r="N17" s="6" t="n">
        <v>0</v>
      </c>
      <c r="O17" s="14" t="n">
        <v>0.118919795283237</v>
      </c>
      <c r="P17" s="14" t="n">
        <v>0.22</v>
      </c>
      <c r="Q17" s="14" t="n">
        <v>0.661080204716763</v>
      </c>
      <c r="R17" s="15" t="n">
        <v>0.604142115911519</v>
      </c>
      <c r="S17" s="15" t="n">
        <v>1.89585788408848</v>
      </c>
      <c r="T17" s="16" t="s">
        <v>137</v>
      </c>
      <c r="U17" s="11" t="n">
        <v>38</v>
      </c>
      <c r="V17" s="17"/>
      <c r="W17" s="17"/>
      <c r="X17" s="17"/>
      <c r="Y17" s="18" t="str">
        <f aca="false">IF(ISNUMBER(V17),(O17-V17)*100,"pending")</f>
        <v>pending</v>
      </c>
    </row>
    <row r="18" customFormat="false" ht="21.75" hidden="false" customHeight="true" outlineLevel="0" collapsed="false">
      <c r="A18" s="5" t="s">
        <v>197</v>
      </c>
      <c r="B18" s="7" t="n">
        <v>14</v>
      </c>
      <c r="C18" s="5" t="s">
        <v>192</v>
      </c>
      <c r="D18" s="5" t="s">
        <v>193</v>
      </c>
      <c r="E18" s="5" t="s">
        <v>198</v>
      </c>
      <c r="F18" s="7" t="n">
        <v>320</v>
      </c>
      <c r="G18" s="5" t="s">
        <v>199</v>
      </c>
      <c r="H18" s="5" t="s">
        <v>200</v>
      </c>
      <c r="I18" s="6" t="n">
        <v>1</v>
      </c>
      <c r="J18" s="6" t="n">
        <v>68</v>
      </c>
      <c r="K18" s="6" t="n">
        <v>2171</v>
      </c>
      <c r="L18" s="6" t="n">
        <v>1561</v>
      </c>
      <c r="M18" s="6" t="n">
        <v>0</v>
      </c>
      <c r="N18" s="6" t="n">
        <v>0</v>
      </c>
      <c r="O18" s="14" t="n">
        <v>0.835069966368239</v>
      </c>
      <c r="P18" s="14" t="n">
        <v>0.14</v>
      </c>
      <c r="Q18" s="14" t="n">
        <v>0.0249300336317615</v>
      </c>
      <c r="R18" s="15" t="n">
        <v>2.28053278461996</v>
      </c>
      <c r="S18" s="15" t="n">
        <v>0.219467215380039</v>
      </c>
      <c r="T18" s="16" t="s">
        <v>137</v>
      </c>
      <c r="U18" s="11" t="n">
        <v>38</v>
      </c>
      <c r="V18" s="17"/>
      <c r="W18" s="17"/>
      <c r="X18" s="17"/>
      <c r="Y18" s="18" t="str">
        <f aca="false">IF(ISNUMBER(V18),(O18-V18)*100,"pending")</f>
        <v>pending</v>
      </c>
    </row>
    <row r="19" customFormat="false" ht="21.75" hidden="false" customHeight="true" outlineLevel="0" collapsed="false">
      <c r="A19" s="5" t="s">
        <v>201</v>
      </c>
      <c r="B19" s="7" t="n">
        <v>15</v>
      </c>
      <c r="C19" s="5" t="s">
        <v>192</v>
      </c>
      <c r="D19" s="5" t="s">
        <v>202</v>
      </c>
      <c r="E19" s="5" t="s">
        <v>151</v>
      </c>
      <c r="F19" s="7" t="n">
        <v>30</v>
      </c>
      <c r="G19" s="5" t="s">
        <v>203</v>
      </c>
      <c r="H19" s="5" t="s">
        <v>204</v>
      </c>
      <c r="I19" s="6" t="n">
        <v>20</v>
      </c>
      <c r="J19" s="6" t="n">
        <v>86</v>
      </c>
      <c r="K19" s="6" t="n">
        <v>1754</v>
      </c>
      <c r="L19" s="6" t="n">
        <v>1586</v>
      </c>
      <c r="M19" s="6" t="n">
        <v>0</v>
      </c>
      <c r="N19" s="6" t="n">
        <v>0</v>
      </c>
      <c r="O19" s="14" t="n">
        <v>0.565139829417178</v>
      </c>
      <c r="P19" s="14" t="n">
        <v>0.22</v>
      </c>
      <c r="Q19" s="14" t="n">
        <v>0.214860170582822</v>
      </c>
      <c r="R19" s="15" t="n">
        <v>1.63955126478099</v>
      </c>
      <c r="S19" s="15" t="n">
        <v>0.860448735219012</v>
      </c>
      <c r="T19" s="16" t="s">
        <v>137</v>
      </c>
      <c r="U19" s="11" t="n">
        <v>38</v>
      </c>
      <c r="V19" s="17"/>
      <c r="W19" s="17"/>
      <c r="X19" s="17"/>
      <c r="Y19" s="18" t="str">
        <f aca="false">IF(ISNUMBER(V19),(O19-V19)*100,"pending")</f>
        <v>pending</v>
      </c>
    </row>
    <row r="20" customFormat="false" ht="21.75" hidden="false" customHeight="true" outlineLevel="0" collapsed="false">
      <c r="A20" s="5" t="s">
        <v>205</v>
      </c>
      <c r="B20" s="7" t="n">
        <v>16</v>
      </c>
      <c r="C20" s="5" t="s">
        <v>192</v>
      </c>
      <c r="D20" s="5" t="s">
        <v>202</v>
      </c>
      <c r="E20" s="5" t="s">
        <v>206</v>
      </c>
      <c r="F20" s="7" t="n">
        <v>18</v>
      </c>
      <c r="G20" s="5" t="s">
        <v>207</v>
      </c>
      <c r="H20" s="5" t="s">
        <v>208</v>
      </c>
      <c r="I20" s="6" t="n">
        <v>8</v>
      </c>
      <c r="J20" s="6" t="n">
        <v>34</v>
      </c>
      <c r="K20" s="6" t="n">
        <v>1849</v>
      </c>
      <c r="L20" s="6" t="n">
        <v>1660</v>
      </c>
      <c r="M20" s="6" t="n">
        <v>0</v>
      </c>
      <c r="N20" s="6" t="n">
        <v>0</v>
      </c>
      <c r="O20" s="14" t="n">
        <v>0.583439642132922</v>
      </c>
      <c r="P20" s="14" t="n">
        <v>0.22</v>
      </c>
      <c r="Q20" s="14" t="n">
        <v>0.196560357867078</v>
      </c>
      <c r="R20" s="15" t="n">
        <v>1.68444046972081</v>
      </c>
      <c r="S20" s="15" t="n">
        <v>0.815559530279195</v>
      </c>
      <c r="T20" s="16" t="s">
        <v>137</v>
      </c>
      <c r="U20" s="11" t="n">
        <v>38</v>
      </c>
      <c r="V20" s="17"/>
      <c r="W20" s="17"/>
      <c r="X20" s="17"/>
      <c r="Y20" s="18" t="str">
        <f aca="false">IF(ISNUMBER(V20),(O20-V20)*100,"pending")</f>
        <v>pending</v>
      </c>
    </row>
    <row r="21" customFormat="false" ht="21.75" hidden="false" customHeight="true" outlineLevel="0" collapsed="false">
      <c r="A21" s="5" t="s">
        <v>209</v>
      </c>
      <c r="B21" s="7" t="n">
        <v>17</v>
      </c>
      <c r="C21" s="5" t="s">
        <v>210</v>
      </c>
      <c r="D21" s="5" t="s">
        <v>211</v>
      </c>
      <c r="E21" s="5" t="s">
        <v>165</v>
      </c>
      <c r="F21" s="7" t="n">
        <v>8</v>
      </c>
      <c r="G21" s="5" t="s">
        <v>212</v>
      </c>
      <c r="H21" s="5" t="s">
        <v>213</v>
      </c>
      <c r="I21" s="6" t="n">
        <v>3</v>
      </c>
      <c r="J21" s="6" t="n">
        <v>19</v>
      </c>
      <c r="K21" s="6" t="n">
        <v>2063</v>
      </c>
      <c r="L21" s="6" t="n">
        <v>1869</v>
      </c>
      <c r="M21" s="6" t="n">
        <v>0</v>
      </c>
      <c r="N21" s="6" t="n">
        <v>0</v>
      </c>
      <c r="O21" s="14" t="n">
        <v>0.587641140672779</v>
      </c>
      <c r="P21" s="14" t="n">
        <v>0.22</v>
      </c>
      <c r="Q21" s="14" t="n">
        <v>0.192358859327221</v>
      </c>
      <c r="R21" s="15" t="n">
        <v>1.69494911570267</v>
      </c>
      <c r="S21" s="15" t="n">
        <v>0.805050884297327</v>
      </c>
      <c r="T21" s="16" t="s">
        <v>137</v>
      </c>
      <c r="U21" s="11" t="n">
        <v>38</v>
      </c>
      <c r="V21" s="17"/>
      <c r="W21" s="17"/>
      <c r="X21" s="17"/>
      <c r="Y21" s="18" t="str">
        <f aca="false">IF(ISNUMBER(V21),(O21-V21)*100,"pending")</f>
        <v>pending</v>
      </c>
    </row>
    <row r="22" customFormat="false" ht="21.75" hidden="false" customHeight="true" outlineLevel="0" collapsed="false">
      <c r="A22" s="5" t="s">
        <v>214</v>
      </c>
      <c r="B22" s="7" t="n">
        <v>18</v>
      </c>
      <c r="C22" s="5" t="s">
        <v>210</v>
      </c>
      <c r="D22" s="5" t="s">
        <v>211</v>
      </c>
      <c r="E22" s="5" t="s">
        <v>157</v>
      </c>
      <c r="F22" s="7" t="n">
        <v>70</v>
      </c>
      <c r="G22" s="5" t="s">
        <v>215</v>
      </c>
      <c r="H22" s="5" t="s">
        <v>216</v>
      </c>
      <c r="I22" s="6" t="n">
        <v>58</v>
      </c>
      <c r="J22" s="6" t="n">
        <v>29</v>
      </c>
      <c r="K22" s="6" t="n">
        <v>1583</v>
      </c>
      <c r="L22" s="6" t="n">
        <v>1922</v>
      </c>
      <c r="M22" s="6" t="n">
        <v>0</v>
      </c>
      <c r="N22" s="6" t="n">
        <v>0</v>
      </c>
      <c r="O22" s="14" t="n">
        <v>0.102004991714385</v>
      </c>
      <c r="P22" s="14" t="n">
        <v>0.18</v>
      </c>
      <c r="Q22" s="14" t="n">
        <v>0.717995008285615</v>
      </c>
      <c r="R22" s="15" t="n">
        <v>0.535008494294606</v>
      </c>
      <c r="S22" s="15" t="n">
        <v>1.96499150570539</v>
      </c>
      <c r="T22" s="16" t="s">
        <v>142</v>
      </c>
      <c r="U22" s="11" t="n">
        <v>38</v>
      </c>
      <c r="V22" s="17"/>
      <c r="W22" s="17"/>
      <c r="X22" s="17"/>
      <c r="Y22" s="18" t="str">
        <f aca="false">IF(ISNUMBER(V22),(O22-V22)*100,"pending")</f>
        <v>pending</v>
      </c>
    </row>
    <row r="23" customFormat="false" ht="21.75" hidden="false" customHeight="true" outlineLevel="0" collapsed="false">
      <c r="A23" s="5" t="s">
        <v>217</v>
      </c>
      <c r="B23" s="7" t="n">
        <v>19</v>
      </c>
      <c r="C23" s="5" t="s">
        <v>210</v>
      </c>
      <c r="D23" s="5" t="s">
        <v>218</v>
      </c>
      <c r="E23" s="5" t="s">
        <v>219</v>
      </c>
      <c r="F23" s="7" t="n">
        <v>270</v>
      </c>
      <c r="G23" s="5" t="s">
        <v>220</v>
      </c>
      <c r="H23" s="5" t="s">
        <v>221</v>
      </c>
      <c r="I23" s="6" t="n">
        <v>2</v>
      </c>
      <c r="J23" s="6" t="n">
        <v>35</v>
      </c>
      <c r="K23" s="6" t="n">
        <v>2113</v>
      </c>
      <c r="L23" s="6" t="n">
        <v>1728</v>
      </c>
      <c r="M23" s="6" t="n">
        <v>0</v>
      </c>
      <c r="N23" s="6" t="n">
        <v>0</v>
      </c>
      <c r="O23" s="14" t="n">
        <v>0.7393925687738</v>
      </c>
      <c r="P23" s="14" t="n">
        <v>0.18</v>
      </c>
      <c r="Q23" s="14" t="n">
        <v>0.0806074312262</v>
      </c>
      <c r="R23" s="15" t="n">
        <v>2.03548369637746</v>
      </c>
      <c r="S23" s="15" t="n">
        <v>0.464516303622539</v>
      </c>
      <c r="T23" s="16" t="s">
        <v>137</v>
      </c>
      <c r="U23" s="11" t="n">
        <v>38</v>
      </c>
      <c r="V23" s="17"/>
      <c r="W23" s="17"/>
      <c r="X23" s="17"/>
      <c r="Y23" s="18" t="str">
        <f aca="false">IF(ISNUMBER(V23),(O23-V23)*100,"pending")</f>
        <v>pending</v>
      </c>
    </row>
    <row r="24" customFormat="false" ht="21.75" hidden="false" customHeight="true" outlineLevel="0" collapsed="false">
      <c r="A24" s="5" t="s">
        <v>222</v>
      </c>
      <c r="B24" s="7" t="n">
        <v>20</v>
      </c>
      <c r="C24" s="5" t="s">
        <v>210</v>
      </c>
      <c r="D24" s="5" t="s">
        <v>218</v>
      </c>
      <c r="E24" s="5" t="s">
        <v>169</v>
      </c>
      <c r="F24" s="7" t="n">
        <v>4</v>
      </c>
      <c r="G24" s="5" t="s">
        <v>223</v>
      </c>
      <c r="H24" s="5" t="s">
        <v>224</v>
      </c>
      <c r="I24" s="6" t="n">
        <v>24</v>
      </c>
      <c r="J24" s="6" t="n">
        <v>66</v>
      </c>
      <c r="K24" s="6" t="n">
        <v>1818</v>
      </c>
      <c r="L24" s="6" t="n">
        <v>1691</v>
      </c>
      <c r="M24" s="6" t="n">
        <v>0</v>
      </c>
      <c r="N24" s="6" t="n">
        <v>0</v>
      </c>
      <c r="O24" s="14" t="n">
        <v>0.506280150780224</v>
      </c>
      <c r="P24" s="14" t="n">
        <v>0.25</v>
      </c>
      <c r="Q24" s="14" t="n">
        <v>0.243719849219776</v>
      </c>
      <c r="R24" s="15" t="n">
        <v>1.5487228847623</v>
      </c>
      <c r="S24" s="15" t="n">
        <v>0.951277115237698</v>
      </c>
      <c r="T24" s="16" t="s">
        <v>137</v>
      </c>
      <c r="U24" s="11" t="n">
        <v>38</v>
      </c>
      <c r="V24" s="17"/>
      <c r="W24" s="17"/>
      <c r="X24" s="17"/>
      <c r="Y24" s="18" t="str">
        <f aca="false">IF(ISNUMBER(V24),(O24-V24)*100,"pending")</f>
        <v>pending</v>
      </c>
    </row>
    <row r="25" customFormat="false" ht="21.75" hidden="false" customHeight="true" outlineLevel="0" collapsed="false">
      <c r="A25" s="5" t="s">
        <v>225</v>
      </c>
      <c r="B25" s="7" t="n">
        <v>21</v>
      </c>
      <c r="C25" s="5" t="s">
        <v>226</v>
      </c>
      <c r="D25" s="5" t="s">
        <v>227</v>
      </c>
      <c r="E25" s="5" t="s">
        <v>146</v>
      </c>
      <c r="F25" s="7" t="n">
        <v>76</v>
      </c>
      <c r="G25" s="5" t="s">
        <v>228</v>
      </c>
      <c r="H25" s="5" t="s">
        <v>229</v>
      </c>
      <c r="I25" s="6" t="n">
        <v>72</v>
      </c>
      <c r="J25" s="6" t="n">
        <v>30</v>
      </c>
      <c r="K25" s="6" t="n">
        <v>1509</v>
      </c>
      <c r="L25" s="6" t="n">
        <v>1743</v>
      </c>
      <c r="M25" s="6" t="n">
        <v>0</v>
      </c>
      <c r="N25" s="6" t="n">
        <v>0</v>
      </c>
      <c r="O25" s="14" t="n">
        <v>0.160960220313228</v>
      </c>
      <c r="P25" s="14" t="n">
        <v>0.22</v>
      </c>
      <c r="Q25" s="14" t="n">
        <v>0.619039779686772</v>
      </c>
      <c r="R25" s="15" t="n">
        <v>0.723649969075406</v>
      </c>
      <c r="S25" s="15" t="n">
        <v>1.77635003092459</v>
      </c>
      <c r="T25" s="16" t="s">
        <v>137</v>
      </c>
      <c r="U25" s="11" t="n">
        <v>38</v>
      </c>
      <c r="V25" s="17"/>
      <c r="W25" s="17"/>
      <c r="X25" s="17"/>
      <c r="Y25" s="18" t="str">
        <f aca="false">IF(ISNUMBER(V25),(O25-V25)*100,"pending")</f>
        <v>pending</v>
      </c>
    </row>
    <row r="26" customFormat="false" ht="21.75" hidden="false" customHeight="true" outlineLevel="0" collapsed="false">
      <c r="A26" s="5" t="s">
        <v>230</v>
      </c>
      <c r="B26" s="7" t="n">
        <v>22</v>
      </c>
      <c r="C26" s="5" t="s">
        <v>226</v>
      </c>
      <c r="D26" s="5" t="s">
        <v>227</v>
      </c>
      <c r="E26" s="5" t="s">
        <v>184</v>
      </c>
      <c r="F26" s="7" t="n">
        <v>180</v>
      </c>
      <c r="G26" s="5" t="s">
        <v>231</v>
      </c>
      <c r="H26" s="5" t="s">
        <v>232</v>
      </c>
      <c r="I26" s="6" t="n">
        <v>4</v>
      </c>
      <c r="J26" s="6" t="n">
        <v>10</v>
      </c>
      <c r="K26" s="6" t="n">
        <v>2042</v>
      </c>
      <c r="L26" s="6" t="n">
        <v>1933</v>
      </c>
      <c r="M26" s="6" t="n">
        <v>0</v>
      </c>
      <c r="N26" s="6" t="n">
        <v>0</v>
      </c>
      <c r="O26" s="14" t="n">
        <v>0.488934029905998</v>
      </c>
      <c r="P26" s="14" t="n">
        <v>0.25</v>
      </c>
      <c r="Q26" s="14" t="n">
        <v>0.261065970094002</v>
      </c>
      <c r="R26" s="15" t="n">
        <v>1.50769272880806</v>
      </c>
      <c r="S26" s="15" t="n">
        <v>0.992307271191937</v>
      </c>
      <c r="T26" s="16" t="s">
        <v>137</v>
      </c>
      <c r="U26" s="11" t="n">
        <v>38</v>
      </c>
      <c r="V26" s="17"/>
      <c r="W26" s="17"/>
      <c r="X26" s="17"/>
      <c r="Y26" s="18" t="str">
        <f aca="false">IF(ISNUMBER(V26),(O26-V26)*100,"pending")</f>
        <v>pending</v>
      </c>
    </row>
    <row r="27" customFormat="false" ht="21.75" hidden="false" customHeight="true" outlineLevel="0" collapsed="false">
      <c r="A27" s="5" t="s">
        <v>233</v>
      </c>
      <c r="B27" s="7" t="n">
        <v>23</v>
      </c>
      <c r="C27" s="5" t="s">
        <v>226</v>
      </c>
      <c r="D27" s="5" t="s">
        <v>234</v>
      </c>
      <c r="E27" s="5" t="s">
        <v>179</v>
      </c>
      <c r="F27" s="7" t="n">
        <v>15</v>
      </c>
      <c r="G27" s="5" t="s">
        <v>235</v>
      </c>
      <c r="H27" s="5" t="s">
        <v>236</v>
      </c>
      <c r="I27" s="6" t="n">
        <v>6</v>
      </c>
      <c r="J27" s="6" t="n">
        <v>56</v>
      </c>
      <c r="K27" s="6" t="n">
        <v>1976</v>
      </c>
      <c r="L27" s="6" t="n">
        <v>1639</v>
      </c>
      <c r="M27" s="6" t="n">
        <v>0</v>
      </c>
      <c r="N27" s="6" t="n">
        <v>0</v>
      </c>
      <c r="O27" s="14" t="n">
        <v>0.716962265991208</v>
      </c>
      <c r="P27" s="14" t="n">
        <v>0.18</v>
      </c>
      <c r="Q27" s="14" t="n">
        <v>0.103037734008792</v>
      </c>
      <c r="R27" s="15" t="n">
        <v>1.96175685035976</v>
      </c>
      <c r="S27" s="15" t="n">
        <v>0.538243149640238</v>
      </c>
      <c r="T27" s="16" t="s">
        <v>142</v>
      </c>
      <c r="U27" s="11" t="n">
        <v>38</v>
      </c>
      <c r="V27" s="17"/>
      <c r="W27" s="17"/>
      <c r="X27" s="17"/>
      <c r="Y27" s="18" t="str">
        <f aca="false">IF(ISNUMBER(V27),(O27-V27)*100,"pending")</f>
        <v>pending</v>
      </c>
    </row>
    <row r="28" customFormat="false" ht="21.75" hidden="false" customHeight="true" outlineLevel="0" collapsed="false">
      <c r="A28" s="5" t="s">
        <v>237</v>
      </c>
      <c r="B28" s="7" t="n">
        <v>24</v>
      </c>
      <c r="C28" s="5" t="s">
        <v>226</v>
      </c>
      <c r="D28" s="5" t="s">
        <v>234</v>
      </c>
      <c r="E28" s="5" t="s">
        <v>134</v>
      </c>
      <c r="F28" s="7" t="n">
        <v>2240</v>
      </c>
      <c r="G28" s="5" t="s">
        <v>238</v>
      </c>
      <c r="H28" s="5" t="s">
        <v>239</v>
      </c>
      <c r="I28" s="6" t="n">
        <v>50</v>
      </c>
      <c r="J28" s="6" t="n">
        <v>13</v>
      </c>
      <c r="K28" s="6" t="n">
        <v>1735</v>
      </c>
      <c r="L28" s="6" t="n">
        <v>1998</v>
      </c>
      <c r="M28" s="6" t="n">
        <v>0</v>
      </c>
      <c r="N28" s="6" t="n">
        <v>16</v>
      </c>
      <c r="O28" s="14" t="n">
        <v>0.151610398645953</v>
      </c>
      <c r="P28" s="14" t="n">
        <v>0.22</v>
      </c>
      <c r="Q28" s="14" t="n">
        <v>0.628389601354047</v>
      </c>
      <c r="R28" s="15" t="n">
        <v>0.698269605473537</v>
      </c>
      <c r="S28" s="15" t="n">
        <v>1.80173039452646</v>
      </c>
      <c r="T28" s="16" t="s">
        <v>137</v>
      </c>
      <c r="U28" s="11" t="n">
        <v>38</v>
      </c>
      <c r="V28" s="17"/>
      <c r="W28" s="17"/>
      <c r="X28" s="17"/>
      <c r="Y28" s="18" t="str">
        <f aca="false">IF(ISNUMBER(V28),(O28-V28)*100,"pending")</f>
        <v>pending</v>
      </c>
    </row>
    <row r="29" customFormat="false" ht="21.75" hidden="false" customHeight="true" outlineLevel="0" collapsed="false">
      <c r="A29" s="5" t="s">
        <v>240</v>
      </c>
      <c r="B29" s="7" t="n">
        <v>25</v>
      </c>
      <c r="C29" s="5" t="s">
        <v>241</v>
      </c>
      <c r="D29" s="5" t="s">
        <v>133</v>
      </c>
      <c r="E29" s="5" t="s">
        <v>198</v>
      </c>
      <c r="F29" s="7" t="n">
        <v>320</v>
      </c>
      <c r="G29" s="5" t="s">
        <v>141</v>
      </c>
      <c r="H29" s="5" t="s">
        <v>136</v>
      </c>
      <c r="I29" s="6" t="n">
        <v>44</v>
      </c>
      <c r="J29" s="6" t="n">
        <v>61</v>
      </c>
      <c r="K29" s="6" t="n">
        <v>1731</v>
      </c>
      <c r="L29" s="6" t="n">
        <v>1529</v>
      </c>
      <c r="M29" s="6" t="n">
        <v>0</v>
      </c>
      <c r="N29" s="6" t="n">
        <v>0</v>
      </c>
      <c r="O29" s="14" t="n">
        <v>0.59423684573599</v>
      </c>
      <c r="P29" s="14" t="n">
        <v>0.22</v>
      </c>
      <c r="Q29" s="14" t="n">
        <v>0.18576315426401</v>
      </c>
      <c r="R29" s="15" t="n">
        <v>1.71161367701627</v>
      </c>
      <c r="S29" s="15" t="n">
        <v>0.788386322983728</v>
      </c>
      <c r="T29" s="16" t="s">
        <v>142</v>
      </c>
      <c r="U29" s="11" t="n">
        <v>38</v>
      </c>
      <c r="V29" s="17"/>
      <c r="W29" s="17"/>
      <c r="X29" s="17"/>
      <c r="Y29" s="18" t="str">
        <f aca="false">IF(ISNUMBER(V29),(O29-V29)*100,"pending")</f>
        <v>pending</v>
      </c>
    </row>
    <row r="30" customFormat="false" ht="21.75" hidden="false" customHeight="true" outlineLevel="0" collapsed="false">
      <c r="A30" s="5" t="s">
        <v>242</v>
      </c>
      <c r="B30" s="7" t="n">
        <v>26</v>
      </c>
      <c r="C30" s="5" t="s">
        <v>241</v>
      </c>
      <c r="D30" s="5" t="s">
        <v>145</v>
      </c>
      <c r="E30" s="5" t="s">
        <v>151</v>
      </c>
      <c r="F30" s="7" t="n">
        <v>30</v>
      </c>
      <c r="G30" s="5" t="s">
        <v>171</v>
      </c>
      <c r="H30" s="5" t="s">
        <v>148</v>
      </c>
      <c r="I30" s="6" t="n">
        <v>17</v>
      </c>
      <c r="J30" s="6" t="n">
        <v>71</v>
      </c>
      <c r="K30" s="6" t="n">
        <v>1897</v>
      </c>
      <c r="L30" s="6" t="n">
        <v>1571</v>
      </c>
      <c r="M30" s="6" t="n">
        <v>0</v>
      </c>
      <c r="N30" s="6" t="n">
        <v>0</v>
      </c>
      <c r="O30" s="14" t="n">
        <v>0.711121134693386</v>
      </c>
      <c r="P30" s="14" t="n">
        <v>0.18</v>
      </c>
      <c r="Q30" s="14" t="n">
        <v>0.108878865306614</v>
      </c>
      <c r="R30" s="15" t="n">
        <v>1.94371310449566</v>
      </c>
      <c r="S30" s="15" t="n">
        <v>0.556286895504339</v>
      </c>
      <c r="T30" s="16" t="s">
        <v>142</v>
      </c>
      <c r="U30" s="11" t="n">
        <v>38</v>
      </c>
      <c r="V30" s="17"/>
      <c r="W30" s="17"/>
      <c r="X30" s="17"/>
      <c r="Y30" s="18" t="str">
        <f aca="false">IF(ISNUMBER(V30),(O30-V30)*100,"pending")</f>
        <v>pending</v>
      </c>
    </row>
    <row r="31" customFormat="false" ht="21.75" hidden="false" customHeight="true" outlineLevel="0" collapsed="false">
      <c r="A31" s="5" t="s">
        <v>243</v>
      </c>
      <c r="B31" s="7" t="n">
        <v>27</v>
      </c>
      <c r="C31" s="5" t="s">
        <v>241</v>
      </c>
      <c r="D31" s="5" t="s">
        <v>145</v>
      </c>
      <c r="E31" s="5" t="s">
        <v>161</v>
      </c>
      <c r="F31" s="7" t="n">
        <v>5</v>
      </c>
      <c r="G31" s="5" t="s">
        <v>147</v>
      </c>
      <c r="H31" s="5" t="s">
        <v>170</v>
      </c>
      <c r="I31" s="6" t="n">
        <v>27</v>
      </c>
      <c r="J31" s="6" t="n">
        <v>51</v>
      </c>
      <c r="K31" s="6" t="n">
        <v>1806</v>
      </c>
      <c r="L31" s="6" t="n">
        <v>1427</v>
      </c>
      <c r="M31" s="6" t="n">
        <v>75</v>
      </c>
      <c r="N31" s="6" t="n">
        <v>0</v>
      </c>
      <c r="O31" s="14" t="n">
        <v>0.764011372279636</v>
      </c>
      <c r="P31" s="14" t="n">
        <v>0.18</v>
      </c>
      <c r="Q31" s="14" t="n">
        <v>0.0559886277203639</v>
      </c>
      <c r="R31" s="15" t="n">
        <v>2.12744406689351</v>
      </c>
      <c r="S31" s="15" t="n">
        <v>0.372555933106495</v>
      </c>
      <c r="T31" s="16" t="s">
        <v>137</v>
      </c>
      <c r="U31" s="11" t="n">
        <v>38</v>
      </c>
      <c r="V31" s="17"/>
      <c r="W31" s="17"/>
      <c r="X31" s="17"/>
      <c r="Y31" s="18" t="str">
        <f aca="false">IF(ISNUMBER(V31),(O31-V31)*100,"pending")</f>
        <v>pending</v>
      </c>
    </row>
    <row r="32" customFormat="false" ht="21.75" hidden="false" customHeight="true" outlineLevel="0" collapsed="false">
      <c r="A32" s="5" t="s">
        <v>244</v>
      </c>
      <c r="B32" s="7" t="n">
        <v>28</v>
      </c>
      <c r="C32" s="5" t="s">
        <v>241</v>
      </c>
      <c r="D32" s="5" t="s">
        <v>133</v>
      </c>
      <c r="E32" s="5" t="s">
        <v>139</v>
      </c>
      <c r="F32" s="7" t="n">
        <v>1557</v>
      </c>
      <c r="G32" s="5" t="s">
        <v>135</v>
      </c>
      <c r="H32" s="5" t="s">
        <v>140</v>
      </c>
      <c r="I32" s="6" t="n">
        <v>15</v>
      </c>
      <c r="J32" s="6" t="n">
        <v>22</v>
      </c>
      <c r="K32" s="6" t="n">
        <v>1834</v>
      </c>
      <c r="L32" s="6" t="n">
        <v>1784</v>
      </c>
      <c r="M32" s="6" t="n">
        <v>75</v>
      </c>
      <c r="N32" s="6" t="n">
        <v>7</v>
      </c>
      <c r="O32" s="14" t="n">
        <v>0.510991376374795</v>
      </c>
      <c r="P32" s="14" t="n">
        <v>0.25</v>
      </c>
      <c r="Q32" s="14" t="n">
        <v>0.239008623625205</v>
      </c>
      <c r="R32" s="15" t="n">
        <v>1.56000439654417</v>
      </c>
      <c r="S32" s="15" t="n">
        <v>0.939995603455832</v>
      </c>
      <c r="T32" s="16" t="s">
        <v>137</v>
      </c>
      <c r="U32" s="11" t="n">
        <v>38</v>
      </c>
      <c r="V32" s="17"/>
      <c r="W32" s="17"/>
      <c r="X32" s="17"/>
      <c r="Y32" s="18" t="str">
        <f aca="false">IF(ISNUMBER(V32),(O32-V32)*100,"pending")</f>
        <v>pending</v>
      </c>
    </row>
    <row r="33" customFormat="false" ht="21.75" hidden="false" customHeight="true" outlineLevel="0" collapsed="false">
      <c r="A33" s="5" t="s">
        <v>245</v>
      </c>
      <c r="B33" s="7" t="n">
        <v>29</v>
      </c>
      <c r="C33" s="5" t="s">
        <v>246</v>
      </c>
      <c r="D33" s="5" t="s">
        <v>156</v>
      </c>
      <c r="E33" s="5" t="s">
        <v>175</v>
      </c>
      <c r="F33" s="7" t="n">
        <v>10</v>
      </c>
      <c r="G33" s="5" t="s">
        <v>166</v>
      </c>
      <c r="H33" s="5" t="s">
        <v>158</v>
      </c>
      <c r="I33" s="6" t="n">
        <v>5</v>
      </c>
      <c r="J33" s="6" t="n">
        <v>84</v>
      </c>
      <c r="K33" s="6" t="n">
        <v>1979</v>
      </c>
      <c r="L33" s="6" t="n">
        <v>1542</v>
      </c>
      <c r="M33" s="6" t="n">
        <v>0</v>
      </c>
      <c r="N33" s="6" t="n">
        <v>0</v>
      </c>
      <c r="O33" s="14" t="n">
        <v>0.758685683812313</v>
      </c>
      <c r="P33" s="14" t="n">
        <v>0.18</v>
      </c>
      <c r="Q33" s="14" t="n">
        <v>0.0613143161876876</v>
      </c>
      <c r="R33" s="15" t="n">
        <v>2.10628359427258</v>
      </c>
      <c r="S33" s="15" t="n">
        <v>0.39371640572742</v>
      </c>
      <c r="T33" s="16" t="s">
        <v>137</v>
      </c>
      <c r="U33" s="11" t="n">
        <v>38</v>
      </c>
      <c r="V33" s="17"/>
      <c r="W33" s="17"/>
      <c r="X33" s="17"/>
      <c r="Y33" s="18" t="str">
        <f aca="false">IF(ISNUMBER(V33),(O33-V33)*100,"pending")</f>
        <v>pending</v>
      </c>
    </row>
    <row r="34" customFormat="false" ht="21.75" hidden="false" customHeight="true" outlineLevel="0" collapsed="false">
      <c r="A34" s="5" t="s">
        <v>247</v>
      </c>
      <c r="B34" s="7" t="n">
        <v>30</v>
      </c>
      <c r="C34" s="5" t="s">
        <v>246</v>
      </c>
      <c r="D34" s="5" t="s">
        <v>156</v>
      </c>
      <c r="E34" s="5" t="s">
        <v>157</v>
      </c>
      <c r="F34" s="7" t="n">
        <v>70</v>
      </c>
      <c r="G34" s="5" t="s">
        <v>159</v>
      </c>
      <c r="H34" s="5" t="s">
        <v>167</v>
      </c>
      <c r="I34" s="6" t="n">
        <v>36</v>
      </c>
      <c r="J34" s="6" t="n">
        <v>11</v>
      </c>
      <c r="K34" s="6" t="n">
        <v>1790</v>
      </c>
      <c r="L34" s="6" t="n">
        <v>1806</v>
      </c>
      <c r="M34" s="6" t="n">
        <v>0</v>
      </c>
      <c r="N34" s="6" t="n">
        <v>0</v>
      </c>
      <c r="O34" s="14" t="n">
        <v>0.343433097145755</v>
      </c>
      <c r="P34" s="14" t="n">
        <v>0.28</v>
      </c>
      <c r="Q34" s="14" t="n">
        <v>0.376566902854245</v>
      </c>
      <c r="R34" s="15" t="n">
        <v>1.21163563459388</v>
      </c>
      <c r="S34" s="15" t="n">
        <v>1.28836436540612</v>
      </c>
      <c r="T34" s="16" t="s">
        <v>142</v>
      </c>
      <c r="U34" s="11" t="n">
        <v>38</v>
      </c>
      <c r="V34" s="17"/>
      <c r="W34" s="17"/>
      <c r="X34" s="17"/>
      <c r="Y34" s="18" t="str">
        <f aca="false">IF(ISNUMBER(V34),(O34-V34)*100,"pending")</f>
        <v>pending</v>
      </c>
    </row>
    <row r="35" customFormat="false" ht="21.75" hidden="false" customHeight="true" outlineLevel="0" collapsed="false">
      <c r="A35" s="5" t="s">
        <v>248</v>
      </c>
      <c r="B35" s="7" t="n">
        <v>31</v>
      </c>
      <c r="C35" s="5" t="s">
        <v>246</v>
      </c>
      <c r="D35" s="5" t="s">
        <v>150</v>
      </c>
      <c r="E35" s="5" t="s">
        <v>169</v>
      </c>
      <c r="F35" s="7" t="n">
        <v>4</v>
      </c>
      <c r="G35" s="5" t="s">
        <v>163</v>
      </c>
      <c r="H35" s="5" t="s">
        <v>153</v>
      </c>
      <c r="I35" s="6" t="n">
        <v>25</v>
      </c>
      <c r="J35" s="6" t="n">
        <v>39</v>
      </c>
      <c r="K35" s="6" t="n">
        <v>1880</v>
      </c>
      <c r="L35" s="6" t="n">
        <v>1833</v>
      </c>
      <c r="M35" s="6" t="n">
        <v>0</v>
      </c>
      <c r="N35" s="6" t="n">
        <v>0</v>
      </c>
      <c r="O35" s="14" t="n">
        <v>0.408404767926926</v>
      </c>
      <c r="P35" s="14" t="n">
        <v>0.28</v>
      </c>
      <c r="Q35" s="14" t="n">
        <v>0.311595232073074</v>
      </c>
      <c r="R35" s="15" t="n">
        <v>1.36242609679572</v>
      </c>
      <c r="S35" s="15" t="n">
        <v>1.13757390320428</v>
      </c>
      <c r="T35" s="16" t="s">
        <v>142</v>
      </c>
      <c r="U35" s="11" t="n">
        <v>38</v>
      </c>
      <c r="V35" s="17"/>
      <c r="W35" s="17"/>
      <c r="X35" s="17"/>
      <c r="Y35" s="18" t="str">
        <f aca="false">IF(ISNUMBER(V35),(O35-V35)*100,"pending")</f>
        <v>pending</v>
      </c>
    </row>
    <row r="36" customFormat="false" ht="21.75" hidden="false" customHeight="true" outlineLevel="0" collapsed="false">
      <c r="A36" s="5" t="s">
        <v>249</v>
      </c>
      <c r="B36" s="7" t="n">
        <v>32</v>
      </c>
      <c r="C36" s="5" t="s">
        <v>246</v>
      </c>
      <c r="D36" s="5" t="s">
        <v>150</v>
      </c>
      <c r="E36" s="5" t="s">
        <v>206</v>
      </c>
      <c r="F36" s="7" t="n">
        <v>18</v>
      </c>
      <c r="G36" s="5" t="s">
        <v>152</v>
      </c>
      <c r="H36" s="5" t="s">
        <v>162</v>
      </c>
      <c r="I36" s="6" t="n">
        <v>14</v>
      </c>
      <c r="J36" s="6" t="n">
        <v>26</v>
      </c>
      <c r="K36" s="6" t="n">
        <v>1747</v>
      </c>
      <c r="L36" s="6" t="n">
        <v>1774</v>
      </c>
      <c r="M36" s="6" t="n">
        <v>75</v>
      </c>
      <c r="N36" s="6" t="n">
        <v>0</v>
      </c>
      <c r="O36" s="14" t="n">
        <v>0.409421802156241</v>
      </c>
      <c r="P36" s="14" t="n">
        <v>0.28</v>
      </c>
      <c r="Q36" s="14" t="n">
        <v>0.310578197843759</v>
      </c>
      <c r="R36" s="15" t="n">
        <v>1.36480480695121</v>
      </c>
      <c r="S36" s="15" t="n">
        <v>1.13519519304879</v>
      </c>
      <c r="T36" s="16" t="s">
        <v>142</v>
      </c>
      <c r="U36" s="11" t="n">
        <v>38</v>
      </c>
      <c r="V36" s="17"/>
      <c r="W36" s="17"/>
      <c r="X36" s="17"/>
      <c r="Y36" s="18" t="str">
        <f aca="false">IF(ISNUMBER(V36),(O36-V36)*100,"pending")</f>
        <v>pending</v>
      </c>
    </row>
    <row r="37" customFormat="false" ht="21.75" hidden="false" customHeight="true" outlineLevel="0" collapsed="false">
      <c r="A37" s="5" t="s">
        <v>250</v>
      </c>
      <c r="B37" s="7" t="n">
        <v>33</v>
      </c>
      <c r="C37" s="5" t="s">
        <v>251</v>
      </c>
      <c r="D37" s="5" t="s">
        <v>174</v>
      </c>
      <c r="E37" s="5" t="s">
        <v>146</v>
      </c>
      <c r="F37" s="7" t="n">
        <v>76</v>
      </c>
      <c r="G37" s="5" t="s">
        <v>180</v>
      </c>
      <c r="H37" s="5" t="s">
        <v>176</v>
      </c>
      <c r="I37" s="6" t="n">
        <v>9</v>
      </c>
      <c r="J37" s="6" t="n">
        <v>42</v>
      </c>
      <c r="K37" s="6" t="n">
        <v>1910</v>
      </c>
      <c r="L37" s="6" t="n">
        <v>1637</v>
      </c>
      <c r="M37" s="6" t="n">
        <v>0</v>
      </c>
      <c r="N37" s="6" t="n">
        <v>0</v>
      </c>
      <c r="O37" s="14" t="n">
        <v>0.645839516603713</v>
      </c>
      <c r="P37" s="14" t="n">
        <v>0.22</v>
      </c>
      <c r="Q37" s="14" t="n">
        <v>0.134160483396288</v>
      </c>
      <c r="R37" s="15" t="n">
        <v>1.85082104878708</v>
      </c>
      <c r="S37" s="15" t="n">
        <v>0.649178951212924</v>
      </c>
      <c r="T37" s="16" t="s">
        <v>137</v>
      </c>
      <c r="U37" s="11" t="n">
        <v>38</v>
      </c>
      <c r="V37" s="17"/>
      <c r="W37" s="17"/>
      <c r="X37" s="17"/>
      <c r="Y37" s="18" t="str">
        <f aca="false">IF(ISNUMBER(V37),(O37-V37)*100,"pending")</f>
        <v>pending</v>
      </c>
    </row>
    <row r="38" customFormat="false" ht="21.75" hidden="false" customHeight="true" outlineLevel="0" collapsed="false">
      <c r="A38" s="5" t="s">
        <v>252</v>
      </c>
      <c r="B38" s="7" t="n">
        <v>34</v>
      </c>
      <c r="C38" s="5" t="s">
        <v>251</v>
      </c>
      <c r="D38" s="5" t="s">
        <v>174</v>
      </c>
      <c r="E38" s="5" t="s">
        <v>219</v>
      </c>
      <c r="F38" s="7" t="n">
        <v>270</v>
      </c>
      <c r="G38" s="5" t="s">
        <v>177</v>
      </c>
      <c r="H38" s="5" t="s">
        <v>181</v>
      </c>
      <c r="I38" s="6" t="n">
        <v>23</v>
      </c>
      <c r="J38" s="6" t="n">
        <v>82</v>
      </c>
      <c r="K38" s="6" t="n">
        <v>1933</v>
      </c>
      <c r="L38" s="6" t="n">
        <v>1467</v>
      </c>
      <c r="M38" s="6" t="n">
        <v>0</v>
      </c>
      <c r="N38" s="6" t="n">
        <v>0</v>
      </c>
      <c r="O38" s="14" t="n">
        <v>0.767509154953236</v>
      </c>
      <c r="P38" s="14" t="n">
        <v>0.18</v>
      </c>
      <c r="Q38" s="14" t="n">
        <v>0.0524908450467645</v>
      </c>
      <c r="R38" s="15" t="n">
        <v>2.14180942180702</v>
      </c>
      <c r="S38" s="15" t="n">
        <v>0.358190578192984</v>
      </c>
      <c r="T38" s="16" t="s">
        <v>137</v>
      </c>
      <c r="U38" s="11" t="n">
        <v>38</v>
      </c>
      <c r="V38" s="17"/>
      <c r="W38" s="17"/>
      <c r="X38" s="17"/>
      <c r="Y38" s="18" t="str">
        <f aca="false">IF(ISNUMBER(V38),(O38-V38)*100,"pending")</f>
        <v>pending</v>
      </c>
    </row>
    <row r="39" customFormat="false" ht="21.75" hidden="false" customHeight="true" outlineLevel="0" collapsed="false">
      <c r="A39" s="5" t="s">
        <v>253</v>
      </c>
      <c r="B39" s="7" t="n">
        <v>35</v>
      </c>
      <c r="C39" s="5" t="s">
        <v>251</v>
      </c>
      <c r="D39" s="5" t="s">
        <v>183</v>
      </c>
      <c r="E39" s="5" t="s">
        <v>179</v>
      </c>
      <c r="F39" s="7" t="n">
        <v>15</v>
      </c>
      <c r="G39" s="5" t="s">
        <v>185</v>
      </c>
      <c r="H39" s="5" t="s">
        <v>189</v>
      </c>
      <c r="I39" s="6" t="n">
        <v>7</v>
      </c>
      <c r="J39" s="6" t="n">
        <v>43</v>
      </c>
      <c r="K39" s="6" t="n">
        <v>1959</v>
      </c>
      <c r="L39" s="6" t="n">
        <v>1660</v>
      </c>
      <c r="M39" s="6" t="n">
        <v>0</v>
      </c>
      <c r="N39" s="6" t="n">
        <v>0</v>
      </c>
      <c r="O39" s="14" t="n">
        <v>0.661659233595915</v>
      </c>
      <c r="P39" s="14" t="n">
        <v>0.22</v>
      </c>
      <c r="Q39" s="14" t="n">
        <v>0.118340766404085</v>
      </c>
      <c r="R39" s="15" t="n">
        <v>1.89761434475893</v>
      </c>
      <c r="S39" s="15" t="n">
        <v>0.602385655241071</v>
      </c>
      <c r="T39" s="16" t="s">
        <v>142</v>
      </c>
      <c r="U39" s="11" t="n">
        <v>38</v>
      </c>
      <c r="V39" s="17"/>
      <c r="W39" s="17"/>
      <c r="X39" s="17"/>
      <c r="Y39" s="18" t="str">
        <f aca="false">IF(ISNUMBER(V39),(O39-V39)*100,"pending")</f>
        <v>pending</v>
      </c>
    </row>
    <row r="40" customFormat="false" ht="21.75" hidden="false" customHeight="true" outlineLevel="0" collapsed="false">
      <c r="A40" s="5" t="s">
        <v>254</v>
      </c>
      <c r="B40" s="7" t="n">
        <v>36</v>
      </c>
      <c r="C40" s="5" t="s">
        <v>251</v>
      </c>
      <c r="D40" s="5" t="s">
        <v>183</v>
      </c>
      <c r="E40" s="5" t="s">
        <v>188</v>
      </c>
      <c r="F40" s="7" t="n">
        <v>530</v>
      </c>
      <c r="G40" s="5" t="s">
        <v>190</v>
      </c>
      <c r="H40" s="5" t="s">
        <v>186</v>
      </c>
      <c r="I40" s="6" t="n">
        <v>40</v>
      </c>
      <c r="J40" s="6" t="n">
        <v>18</v>
      </c>
      <c r="K40" s="6" t="n">
        <v>1614</v>
      </c>
      <c r="L40" s="6" t="n">
        <v>1879</v>
      </c>
      <c r="M40" s="6" t="n">
        <v>0</v>
      </c>
      <c r="N40" s="6" t="n">
        <v>0</v>
      </c>
      <c r="O40" s="14" t="n">
        <v>0.139353652045131</v>
      </c>
      <c r="P40" s="14" t="n">
        <v>0.22</v>
      </c>
      <c r="Q40" s="14" t="n">
        <v>0.640646347954869</v>
      </c>
      <c r="R40" s="15" t="n">
        <v>0.664042590984524</v>
      </c>
      <c r="S40" s="15" t="n">
        <v>1.83595740901548</v>
      </c>
      <c r="T40" s="16" t="s">
        <v>137</v>
      </c>
      <c r="U40" s="11" t="n">
        <v>38</v>
      </c>
      <c r="V40" s="17"/>
      <c r="W40" s="17"/>
      <c r="X40" s="17"/>
      <c r="Y40" s="18" t="str">
        <f aca="false">IF(ISNUMBER(V40),(O40-V40)*100,"pending")</f>
        <v>pending</v>
      </c>
    </row>
    <row r="41" customFormat="false" ht="21.75" hidden="false" customHeight="true" outlineLevel="0" collapsed="false">
      <c r="A41" s="5" t="s">
        <v>255</v>
      </c>
      <c r="B41" s="7" t="n">
        <v>37</v>
      </c>
      <c r="C41" s="5" t="s">
        <v>256</v>
      </c>
      <c r="D41" s="5" t="s">
        <v>193</v>
      </c>
      <c r="E41" s="5" t="s">
        <v>194</v>
      </c>
      <c r="F41" s="7" t="n">
        <v>3</v>
      </c>
      <c r="G41" s="5" t="s">
        <v>196</v>
      </c>
      <c r="H41" s="5" t="s">
        <v>200</v>
      </c>
      <c r="I41" s="6" t="n">
        <v>16</v>
      </c>
      <c r="J41" s="6" t="n">
        <v>68</v>
      </c>
      <c r="K41" s="6" t="n">
        <v>1890</v>
      </c>
      <c r="L41" s="6" t="n">
        <v>1561</v>
      </c>
      <c r="M41" s="6" t="n">
        <v>0</v>
      </c>
      <c r="N41" s="6" t="n">
        <v>0</v>
      </c>
      <c r="O41" s="14" t="n">
        <v>0.712741429673144</v>
      </c>
      <c r="P41" s="14" t="n">
        <v>0.18</v>
      </c>
      <c r="Q41" s="14" t="n">
        <v>0.107258570326856</v>
      </c>
      <c r="R41" s="15" t="n">
        <v>1.94867658910908</v>
      </c>
      <c r="S41" s="15" t="n">
        <v>0.551323410890922</v>
      </c>
      <c r="T41" s="16" t="s">
        <v>137</v>
      </c>
      <c r="U41" s="11" t="n">
        <v>38</v>
      </c>
      <c r="V41" s="17"/>
      <c r="W41" s="17"/>
      <c r="X41" s="17"/>
      <c r="Y41" s="18" t="str">
        <f aca="false">IF(ISNUMBER(V41),(O41-V41)*100,"pending")</f>
        <v>pending</v>
      </c>
    </row>
    <row r="42" customFormat="false" ht="21.75" hidden="false" customHeight="true" outlineLevel="0" collapsed="false">
      <c r="A42" s="5" t="s">
        <v>257</v>
      </c>
      <c r="B42" s="7" t="n">
        <v>38</v>
      </c>
      <c r="C42" s="5" t="s">
        <v>256</v>
      </c>
      <c r="D42" s="5" t="s">
        <v>193</v>
      </c>
      <c r="E42" s="5" t="s">
        <v>198</v>
      </c>
      <c r="F42" s="7" t="n">
        <v>320</v>
      </c>
      <c r="G42" s="5" t="s">
        <v>199</v>
      </c>
      <c r="H42" s="5" t="s">
        <v>195</v>
      </c>
      <c r="I42" s="6" t="n">
        <v>1</v>
      </c>
      <c r="J42" s="6" t="n">
        <v>60</v>
      </c>
      <c r="K42" s="6" t="n">
        <v>2171</v>
      </c>
      <c r="L42" s="6" t="n">
        <v>1592</v>
      </c>
      <c r="M42" s="6" t="n">
        <v>0</v>
      </c>
      <c r="N42" s="6" t="n">
        <v>0</v>
      </c>
      <c r="O42" s="14" t="n">
        <v>0.830367364959272</v>
      </c>
      <c r="P42" s="14" t="n">
        <v>0.14</v>
      </c>
      <c r="Q42" s="14" t="n">
        <v>0.0296326350407281</v>
      </c>
      <c r="R42" s="15" t="n">
        <v>2.25551830086275</v>
      </c>
      <c r="S42" s="15" t="n">
        <v>0.244481699137251</v>
      </c>
      <c r="T42" s="16" t="s">
        <v>137</v>
      </c>
      <c r="U42" s="11" t="n">
        <v>38</v>
      </c>
      <c r="V42" s="17"/>
      <c r="W42" s="17"/>
      <c r="X42" s="17"/>
      <c r="Y42" s="18" t="str">
        <f aca="false">IF(ISNUMBER(V42),(O42-V42)*100,"pending")</f>
        <v>pending</v>
      </c>
    </row>
    <row r="43" customFormat="false" ht="21.75" hidden="false" customHeight="true" outlineLevel="0" collapsed="false">
      <c r="A43" s="5" t="s">
        <v>258</v>
      </c>
      <c r="B43" s="7" t="n">
        <v>39</v>
      </c>
      <c r="C43" s="5" t="s">
        <v>256</v>
      </c>
      <c r="D43" s="5" t="s">
        <v>202</v>
      </c>
      <c r="E43" s="5" t="s">
        <v>151</v>
      </c>
      <c r="F43" s="7" t="n">
        <v>30</v>
      </c>
      <c r="G43" s="5" t="s">
        <v>207</v>
      </c>
      <c r="H43" s="5" t="s">
        <v>203</v>
      </c>
      <c r="I43" s="6" t="n">
        <v>8</v>
      </c>
      <c r="J43" s="6" t="n">
        <v>20</v>
      </c>
      <c r="K43" s="6" t="n">
        <v>1849</v>
      </c>
      <c r="L43" s="6" t="n">
        <v>1754</v>
      </c>
      <c r="M43" s="6" t="n">
        <v>0</v>
      </c>
      <c r="N43" s="6" t="n">
        <v>0</v>
      </c>
      <c r="O43" s="14" t="n">
        <v>0.475055775053376</v>
      </c>
      <c r="P43" s="14" t="n">
        <v>0.25</v>
      </c>
      <c r="Q43" s="14" t="n">
        <v>0.274944224946624</v>
      </c>
      <c r="R43" s="15" t="n">
        <v>1.47536923754149</v>
      </c>
      <c r="S43" s="15" t="n">
        <v>1.02463076245851</v>
      </c>
      <c r="T43" s="16" t="s">
        <v>142</v>
      </c>
      <c r="U43" s="11" t="n">
        <v>38</v>
      </c>
      <c r="V43" s="17"/>
      <c r="W43" s="17"/>
      <c r="X43" s="17"/>
      <c r="Y43" s="18" t="str">
        <f aca="false">IF(ISNUMBER(V43),(O43-V43)*100,"pending")</f>
        <v>pending</v>
      </c>
    </row>
    <row r="44" customFormat="false" ht="21.75" hidden="false" customHeight="true" outlineLevel="0" collapsed="false">
      <c r="A44" s="5" t="s">
        <v>259</v>
      </c>
      <c r="B44" s="7" t="n">
        <v>40</v>
      </c>
      <c r="C44" s="5" t="s">
        <v>256</v>
      </c>
      <c r="D44" s="5" t="s">
        <v>202</v>
      </c>
      <c r="E44" s="5" t="s">
        <v>161</v>
      </c>
      <c r="F44" s="7" t="n">
        <v>5</v>
      </c>
      <c r="G44" s="5" t="s">
        <v>204</v>
      </c>
      <c r="H44" s="5" t="s">
        <v>208</v>
      </c>
      <c r="I44" s="6" t="n">
        <v>86</v>
      </c>
      <c r="J44" s="6" t="n">
        <v>34</v>
      </c>
      <c r="K44" s="6" t="n">
        <v>1586</v>
      </c>
      <c r="L44" s="6" t="n">
        <v>1660</v>
      </c>
      <c r="M44" s="6" t="n">
        <v>0</v>
      </c>
      <c r="N44" s="6" t="n">
        <v>0</v>
      </c>
      <c r="O44" s="14" t="n">
        <v>0.296315323494032</v>
      </c>
      <c r="P44" s="14" t="n">
        <v>0.25</v>
      </c>
      <c r="Q44" s="14" t="n">
        <v>0.453684676505968</v>
      </c>
      <c r="R44" s="15" t="n">
        <v>1.07369237739453</v>
      </c>
      <c r="S44" s="15" t="n">
        <v>1.42630762260548</v>
      </c>
      <c r="T44" s="16" t="s">
        <v>142</v>
      </c>
      <c r="U44" s="11" t="n">
        <v>38</v>
      </c>
      <c r="V44" s="17"/>
      <c r="W44" s="17"/>
      <c r="X44" s="17"/>
      <c r="Y44" s="18" t="str">
        <f aca="false">IF(ISNUMBER(V44),(O44-V44)*100,"pending")</f>
        <v>pending</v>
      </c>
    </row>
    <row r="45" customFormat="false" ht="21.75" hidden="false" customHeight="true" outlineLevel="0" collapsed="false">
      <c r="A45" s="5" t="s">
        <v>260</v>
      </c>
      <c r="B45" s="7" t="n">
        <v>41</v>
      </c>
      <c r="C45" s="5" t="s">
        <v>261</v>
      </c>
      <c r="D45" s="5" t="s">
        <v>211</v>
      </c>
      <c r="E45" s="5" t="s">
        <v>165</v>
      </c>
      <c r="F45" s="7" t="n">
        <v>8</v>
      </c>
      <c r="G45" s="5" t="s">
        <v>216</v>
      </c>
      <c r="H45" s="5" t="s">
        <v>213</v>
      </c>
      <c r="I45" s="6" t="n">
        <v>29</v>
      </c>
      <c r="J45" s="6" t="n">
        <v>19</v>
      </c>
      <c r="K45" s="6" t="n">
        <v>1922</v>
      </c>
      <c r="L45" s="6" t="n">
        <v>1869</v>
      </c>
      <c r="M45" s="6" t="n">
        <v>0</v>
      </c>
      <c r="N45" s="6" t="n">
        <v>0</v>
      </c>
      <c r="O45" s="14" t="n">
        <v>0.431765214282322</v>
      </c>
      <c r="P45" s="14" t="n">
        <v>0.25</v>
      </c>
      <c r="Q45" s="14" t="n">
        <v>0.318234785717678</v>
      </c>
      <c r="R45" s="15" t="n">
        <v>1.37668544304491</v>
      </c>
      <c r="S45" s="15" t="n">
        <v>1.12331455695509</v>
      </c>
      <c r="T45" s="16" t="s">
        <v>142</v>
      </c>
      <c r="U45" s="11" t="n">
        <v>38</v>
      </c>
      <c r="V45" s="17"/>
      <c r="W45" s="17"/>
      <c r="X45" s="17"/>
      <c r="Y45" s="18" t="str">
        <f aca="false">IF(ISNUMBER(V45),(O45-V45)*100,"pending")</f>
        <v>pending</v>
      </c>
    </row>
    <row r="46" customFormat="false" ht="21.75" hidden="false" customHeight="true" outlineLevel="0" collapsed="false">
      <c r="A46" s="5" t="s">
        <v>262</v>
      </c>
      <c r="B46" s="7" t="n">
        <v>42</v>
      </c>
      <c r="C46" s="5" t="s">
        <v>261</v>
      </c>
      <c r="D46" s="5" t="s">
        <v>211</v>
      </c>
      <c r="E46" s="5" t="s">
        <v>175</v>
      </c>
      <c r="F46" s="7" t="n">
        <v>10</v>
      </c>
      <c r="G46" s="5" t="s">
        <v>212</v>
      </c>
      <c r="H46" s="5" t="s">
        <v>215</v>
      </c>
      <c r="I46" s="6" t="n">
        <v>3</v>
      </c>
      <c r="J46" s="6" t="n">
        <v>58</v>
      </c>
      <c r="K46" s="6" t="n">
        <v>2063</v>
      </c>
      <c r="L46" s="6" t="n">
        <v>1583</v>
      </c>
      <c r="M46" s="6" t="n">
        <v>0</v>
      </c>
      <c r="N46" s="6" t="n">
        <v>0</v>
      </c>
      <c r="O46" s="14" t="n">
        <v>0.771332226655731</v>
      </c>
      <c r="P46" s="14" t="n">
        <v>0.18</v>
      </c>
      <c r="Q46" s="14" t="n">
        <v>0.0486677733442695</v>
      </c>
      <c r="R46" s="15" t="n">
        <v>2.15798277849198</v>
      </c>
      <c r="S46" s="15" t="n">
        <v>0.342017221508025</v>
      </c>
      <c r="T46" s="16" t="s">
        <v>142</v>
      </c>
      <c r="U46" s="11" t="n">
        <v>38</v>
      </c>
      <c r="V46" s="17"/>
      <c r="W46" s="17"/>
      <c r="X46" s="17"/>
      <c r="Y46" s="18" t="str">
        <f aca="false">IF(ISNUMBER(V46),(O46-V46)*100,"pending")</f>
        <v>pending</v>
      </c>
    </row>
    <row r="47" customFormat="false" ht="21.75" hidden="false" customHeight="true" outlineLevel="0" collapsed="false">
      <c r="A47" s="5" t="s">
        <v>263</v>
      </c>
      <c r="B47" s="7" t="n">
        <v>43</v>
      </c>
      <c r="C47" s="5" t="s">
        <v>261</v>
      </c>
      <c r="D47" s="5" t="s">
        <v>218</v>
      </c>
      <c r="E47" s="5" t="s">
        <v>184</v>
      </c>
      <c r="F47" s="7" t="n">
        <v>180</v>
      </c>
      <c r="G47" s="5" t="s">
        <v>220</v>
      </c>
      <c r="H47" s="5" t="s">
        <v>223</v>
      </c>
      <c r="I47" s="6" t="n">
        <v>2</v>
      </c>
      <c r="J47" s="6" t="n">
        <v>24</v>
      </c>
      <c r="K47" s="6" t="n">
        <v>2113</v>
      </c>
      <c r="L47" s="6" t="n">
        <v>1818</v>
      </c>
      <c r="M47" s="6" t="n">
        <v>0</v>
      </c>
      <c r="N47" s="6" t="n">
        <v>0</v>
      </c>
      <c r="O47" s="14" t="n">
        <v>0.65932917228204</v>
      </c>
      <c r="P47" s="14" t="n">
        <v>0.22</v>
      </c>
      <c r="Q47" s="14" t="n">
        <v>0.12067082771796</v>
      </c>
      <c r="R47" s="15" t="n">
        <v>1.89056759499904</v>
      </c>
      <c r="S47" s="15" t="n">
        <v>0.609432405000964</v>
      </c>
      <c r="T47" s="16" t="s">
        <v>137</v>
      </c>
      <c r="U47" s="11" t="n">
        <v>38</v>
      </c>
      <c r="V47" s="17"/>
      <c r="W47" s="17"/>
      <c r="X47" s="17"/>
      <c r="Y47" s="18" t="str">
        <f aca="false">IF(ISNUMBER(V47),(O47-V47)*100,"pending")</f>
        <v>pending</v>
      </c>
    </row>
    <row r="48" customFormat="false" ht="21.75" hidden="false" customHeight="true" outlineLevel="0" collapsed="false">
      <c r="A48" s="5" t="s">
        <v>264</v>
      </c>
      <c r="B48" s="7" t="n">
        <v>44</v>
      </c>
      <c r="C48" s="5" t="s">
        <v>261</v>
      </c>
      <c r="D48" s="5" t="s">
        <v>218</v>
      </c>
      <c r="E48" s="5" t="s">
        <v>169</v>
      </c>
      <c r="F48" s="7" t="n">
        <v>4</v>
      </c>
      <c r="G48" s="5" t="s">
        <v>224</v>
      </c>
      <c r="H48" s="5" t="s">
        <v>221</v>
      </c>
      <c r="I48" s="6" t="n">
        <v>66</v>
      </c>
      <c r="J48" s="6" t="n">
        <v>35</v>
      </c>
      <c r="K48" s="6" t="n">
        <v>1691</v>
      </c>
      <c r="L48" s="6" t="n">
        <v>1728</v>
      </c>
      <c r="M48" s="6" t="n">
        <v>0</v>
      </c>
      <c r="N48" s="6" t="n">
        <v>0</v>
      </c>
      <c r="O48" s="14" t="n">
        <v>0.321806235477987</v>
      </c>
      <c r="P48" s="14" t="n">
        <v>0.28</v>
      </c>
      <c r="Q48" s="14" t="n">
        <v>0.398193764522013</v>
      </c>
      <c r="R48" s="15" t="n">
        <v>1.16140333959245</v>
      </c>
      <c r="S48" s="15" t="n">
        <v>1.33859666040755</v>
      </c>
      <c r="T48" s="16" t="s">
        <v>142</v>
      </c>
      <c r="U48" s="11" t="n">
        <v>38</v>
      </c>
      <c r="V48" s="17"/>
      <c r="W48" s="17"/>
      <c r="X48" s="17"/>
      <c r="Y48" s="18" t="str">
        <f aca="false">IF(ISNUMBER(V48),(O48-V48)*100,"pending")</f>
        <v>pending</v>
      </c>
    </row>
    <row r="49" customFormat="false" ht="21.75" hidden="false" customHeight="true" outlineLevel="0" collapsed="false">
      <c r="A49" s="5" t="s">
        <v>265</v>
      </c>
      <c r="B49" s="7" t="n">
        <v>45</v>
      </c>
      <c r="C49" s="5" t="s">
        <v>266</v>
      </c>
      <c r="D49" s="5" t="s">
        <v>227</v>
      </c>
      <c r="E49" s="5" t="s">
        <v>157</v>
      </c>
      <c r="F49" s="7" t="n">
        <v>70</v>
      </c>
      <c r="G49" s="5" t="s">
        <v>231</v>
      </c>
      <c r="H49" s="5" t="s">
        <v>228</v>
      </c>
      <c r="I49" s="6" t="n">
        <v>4</v>
      </c>
      <c r="J49" s="6" t="n">
        <v>72</v>
      </c>
      <c r="K49" s="6" t="n">
        <v>2042</v>
      </c>
      <c r="L49" s="6" t="n">
        <v>1509</v>
      </c>
      <c r="M49" s="6" t="n">
        <v>0</v>
      </c>
      <c r="N49" s="6" t="n">
        <v>0</v>
      </c>
      <c r="O49" s="14" t="n">
        <v>0.821782952864315</v>
      </c>
      <c r="P49" s="14" t="n">
        <v>0.14</v>
      </c>
      <c r="Q49" s="14" t="n">
        <v>0.0382170471356855</v>
      </c>
      <c r="R49" s="15" t="n">
        <v>2.21372096493023</v>
      </c>
      <c r="S49" s="15" t="n">
        <v>0.286279035069769</v>
      </c>
      <c r="T49" s="16" t="s">
        <v>137</v>
      </c>
      <c r="U49" s="11" t="n">
        <v>38</v>
      </c>
      <c r="V49" s="17"/>
      <c r="W49" s="17"/>
      <c r="X49" s="17"/>
      <c r="Y49" s="18" t="str">
        <f aca="false">IF(ISNUMBER(V49),(O49-V49)*100,"pending")</f>
        <v>pending</v>
      </c>
    </row>
    <row r="50" customFormat="false" ht="21.75" hidden="false" customHeight="true" outlineLevel="0" collapsed="false">
      <c r="A50" s="5" t="s">
        <v>267</v>
      </c>
      <c r="B50" s="7" t="n">
        <v>46</v>
      </c>
      <c r="C50" s="5" t="s">
        <v>266</v>
      </c>
      <c r="D50" s="5" t="s">
        <v>227</v>
      </c>
      <c r="E50" s="5" t="s">
        <v>146</v>
      </c>
      <c r="F50" s="7" t="n">
        <v>76</v>
      </c>
      <c r="G50" s="5" t="s">
        <v>229</v>
      </c>
      <c r="H50" s="5" t="s">
        <v>232</v>
      </c>
      <c r="I50" s="6" t="n">
        <v>30</v>
      </c>
      <c r="J50" s="6" t="n">
        <v>10</v>
      </c>
      <c r="K50" s="6" t="n">
        <v>1743</v>
      </c>
      <c r="L50" s="6" t="n">
        <v>1933</v>
      </c>
      <c r="M50" s="6" t="n">
        <v>0</v>
      </c>
      <c r="N50" s="6" t="n">
        <v>0</v>
      </c>
      <c r="O50" s="14" t="n">
        <v>0.195715210955522</v>
      </c>
      <c r="P50" s="14" t="n">
        <v>0.22</v>
      </c>
      <c r="Q50" s="14" t="n">
        <v>0.584284789044478</v>
      </c>
      <c r="R50" s="15" t="n">
        <v>0.813452136466261</v>
      </c>
      <c r="S50" s="15" t="n">
        <v>1.68654786353374</v>
      </c>
      <c r="T50" s="16" t="s">
        <v>137</v>
      </c>
      <c r="U50" s="11" t="n">
        <v>38</v>
      </c>
      <c r="V50" s="17"/>
      <c r="W50" s="17"/>
      <c r="X50" s="17"/>
      <c r="Y50" s="18" t="str">
        <f aca="false">IF(ISNUMBER(V50),(O50-V50)*100,"pending")</f>
        <v>pending</v>
      </c>
    </row>
    <row r="51" customFormat="false" ht="21.75" hidden="false" customHeight="true" outlineLevel="0" collapsed="false">
      <c r="A51" s="5" t="s">
        <v>268</v>
      </c>
      <c r="B51" s="7" t="n">
        <v>47</v>
      </c>
      <c r="C51" s="5" t="s">
        <v>266</v>
      </c>
      <c r="D51" s="5" t="s">
        <v>234</v>
      </c>
      <c r="E51" s="5" t="s">
        <v>179</v>
      </c>
      <c r="F51" s="7" t="n">
        <v>15</v>
      </c>
      <c r="G51" s="5" t="s">
        <v>235</v>
      </c>
      <c r="H51" s="5" t="s">
        <v>238</v>
      </c>
      <c r="I51" s="6" t="n">
        <v>6</v>
      </c>
      <c r="J51" s="6" t="n">
        <v>50</v>
      </c>
      <c r="K51" s="6" t="n">
        <v>1976</v>
      </c>
      <c r="L51" s="6" t="n">
        <v>1735</v>
      </c>
      <c r="M51" s="6" t="n">
        <v>0</v>
      </c>
      <c r="N51" s="6" t="n">
        <v>0</v>
      </c>
      <c r="O51" s="14" t="n">
        <v>0.624126403613806</v>
      </c>
      <c r="P51" s="14" t="n">
        <v>0.22</v>
      </c>
      <c r="Q51" s="14" t="n">
        <v>0.155873596386194</v>
      </c>
      <c r="R51" s="15" t="n">
        <v>1.79008425776496</v>
      </c>
      <c r="S51" s="15" t="n">
        <v>0.709915742235038</v>
      </c>
      <c r="T51" s="16" t="s">
        <v>137</v>
      </c>
      <c r="U51" s="11" t="n">
        <v>38</v>
      </c>
      <c r="V51" s="17"/>
      <c r="W51" s="17"/>
      <c r="X51" s="17"/>
      <c r="Y51" s="18" t="str">
        <f aca="false">IF(ISNUMBER(V51),(O51-V51)*100,"pending")</f>
        <v>pending</v>
      </c>
    </row>
    <row r="52" customFormat="false" ht="21.75" hidden="false" customHeight="true" outlineLevel="0" collapsed="false">
      <c r="A52" s="5" t="s">
        <v>269</v>
      </c>
      <c r="B52" s="7" t="n">
        <v>48</v>
      </c>
      <c r="C52" s="5" t="s">
        <v>266</v>
      </c>
      <c r="D52" s="5" t="s">
        <v>234</v>
      </c>
      <c r="E52" s="5" t="s">
        <v>139</v>
      </c>
      <c r="F52" s="7" t="n">
        <v>1557</v>
      </c>
      <c r="G52" s="5" t="s">
        <v>239</v>
      </c>
      <c r="H52" s="5" t="s">
        <v>236</v>
      </c>
      <c r="I52" s="6" t="n">
        <v>13</v>
      </c>
      <c r="J52" s="6" t="n">
        <v>56</v>
      </c>
      <c r="K52" s="6" t="n">
        <v>1998</v>
      </c>
      <c r="L52" s="6" t="n">
        <v>1639</v>
      </c>
      <c r="M52" s="6" t="n">
        <v>0</v>
      </c>
      <c r="N52" s="6" t="n">
        <v>7</v>
      </c>
      <c r="O52" s="14" t="n">
        <v>0.731086306836161</v>
      </c>
      <c r="P52" s="14" t="n">
        <v>0.18</v>
      </c>
      <c r="Q52" s="14" t="n">
        <v>0.0889136931638394</v>
      </c>
      <c r="R52" s="15" t="n">
        <v>2.00727292538454</v>
      </c>
      <c r="S52" s="15" t="n">
        <v>0.49272707461546</v>
      </c>
      <c r="T52" s="16" t="s">
        <v>142</v>
      </c>
      <c r="U52" s="11" t="n">
        <v>38</v>
      </c>
      <c r="V52" s="17"/>
      <c r="W52" s="17"/>
      <c r="X52" s="17"/>
      <c r="Y52" s="18" t="str">
        <f aca="false">IF(ISNUMBER(V52),(O52-V52)*100,"pending")</f>
        <v>pending</v>
      </c>
    </row>
    <row r="53" customFormat="false" ht="21.75" hidden="false" customHeight="true" outlineLevel="0" collapsed="false">
      <c r="A53" s="5" t="s">
        <v>270</v>
      </c>
      <c r="B53" s="7" t="n">
        <v>49</v>
      </c>
      <c r="C53" s="5" t="s">
        <v>271</v>
      </c>
      <c r="D53" s="5" t="s">
        <v>156</v>
      </c>
      <c r="E53" s="5" t="s">
        <v>194</v>
      </c>
      <c r="F53" s="7" t="n">
        <v>3</v>
      </c>
      <c r="G53" s="5" t="s">
        <v>159</v>
      </c>
      <c r="H53" s="5" t="s">
        <v>166</v>
      </c>
      <c r="I53" s="6" t="n">
        <v>36</v>
      </c>
      <c r="J53" s="6" t="n">
        <v>5</v>
      </c>
      <c r="K53" s="6" t="n">
        <v>1790</v>
      </c>
      <c r="L53" s="6" t="n">
        <v>1979</v>
      </c>
      <c r="M53" s="6" t="n">
        <v>0</v>
      </c>
      <c r="N53" s="6" t="n">
        <v>0</v>
      </c>
      <c r="O53" s="14" t="n">
        <v>0.196560357867078</v>
      </c>
      <c r="P53" s="14" t="n">
        <v>0.22</v>
      </c>
      <c r="Q53" s="14" t="n">
        <v>0.583439642132922</v>
      </c>
      <c r="R53" s="15" t="n">
        <v>0.815559530279195</v>
      </c>
      <c r="S53" s="15" t="n">
        <v>1.68444046972081</v>
      </c>
      <c r="T53" s="16" t="s">
        <v>137</v>
      </c>
      <c r="U53" s="11" t="n">
        <v>38</v>
      </c>
      <c r="V53" s="17"/>
      <c r="W53" s="17"/>
      <c r="X53" s="17"/>
      <c r="Y53" s="18" t="str">
        <f aca="false">IF(ISNUMBER(V53),(O53-V53)*100,"pending")</f>
        <v>pending</v>
      </c>
    </row>
    <row r="54" customFormat="false" ht="21.75" hidden="false" customHeight="true" outlineLevel="0" collapsed="false">
      <c r="A54" s="5" t="s">
        <v>272</v>
      </c>
      <c r="B54" s="7" t="n">
        <v>50</v>
      </c>
      <c r="C54" s="5" t="s">
        <v>271</v>
      </c>
      <c r="D54" s="5" t="s">
        <v>156</v>
      </c>
      <c r="E54" s="5" t="s">
        <v>198</v>
      </c>
      <c r="F54" s="7" t="n">
        <v>320</v>
      </c>
      <c r="G54" s="5" t="s">
        <v>167</v>
      </c>
      <c r="H54" s="5" t="s">
        <v>158</v>
      </c>
      <c r="I54" s="6" t="n">
        <v>11</v>
      </c>
      <c r="J54" s="6" t="n">
        <v>84</v>
      </c>
      <c r="K54" s="6" t="n">
        <v>1806</v>
      </c>
      <c r="L54" s="6" t="n">
        <v>1542</v>
      </c>
      <c r="M54" s="6" t="n">
        <v>0</v>
      </c>
      <c r="N54" s="6" t="n">
        <v>0</v>
      </c>
      <c r="O54" s="14" t="n">
        <v>0.63998626168341</v>
      </c>
      <c r="P54" s="14" t="n">
        <v>0.22</v>
      </c>
      <c r="Q54" s="14" t="n">
        <v>0.14001373831659</v>
      </c>
      <c r="R54" s="15" t="n">
        <v>1.83408425603452</v>
      </c>
      <c r="S54" s="15" t="n">
        <v>0.665915743965482</v>
      </c>
      <c r="T54" s="16" t="s">
        <v>137</v>
      </c>
      <c r="U54" s="11" t="n">
        <v>38</v>
      </c>
      <c r="V54" s="17"/>
      <c r="W54" s="17"/>
      <c r="X54" s="17"/>
      <c r="Y54" s="18" t="str">
        <f aca="false">IF(ISNUMBER(V54),(O54-V54)*100,"pending")</f>
        <v>pending</v>
      </c>
    </row>
    <row r="55" customFormat="false" ht="21.75" hidden="false" customHeight="true" outlineLevel="0" collapsed="false">
      <c r="A55" s="5" t="s">
        <v>273</v>
      </c>
      <c r="B55" s="7" t="n">
        <v>51</v>
      </c>
      <c r="C55" s="5" t="s">
        <v>271</v>
      </c>
      <c r="D55" s="5" t="s">
        <v>145</v>
      </c>
      <c r="E55" s="5" t="s">
        <v>161</v>
      </c>
      <c r="F55" s="7" t="n">
        <v>5</v>
      </c>
      <c r="G55" s="5" t="s">
        <v>171</v>
      </c>
      <c r="H55" s="5" t="s">
        <v>147</v>
      </c>
      <c r="I55" s="6" t="n">
        <v>17</v>
      </c>
      <c r="J55" s="6" t="n">
        <v>27</v>
      </c>
      <c r="K55" s="6" t="n">
        <v>1897</v>
      </c>
      <c r="L55" s="6" t="n">
        <v>1806</v>
      </c>
      <c r="M55" s="6" t="n">
        <v>0</v>
      </c>
      <c r="N55" s="6" t="n">
        <v>0</v>
      </c>
      <c r="O55" s="14" t="n">
        <v>0.471033604216456</v>
      </c>
      <c r="P55" s="14" t="n">
        <v>0.25</v>
      </c>
      <c r="Q55" s="14" t="n">
        <v>0.278966395783544</v>
      </c>
      <c r="R55" s="15" t="n">
        <v>1.46607432310111</v>
      </c>
      <c r="S55" s="15" t="n">
        <v>1.03392567689889</v>
      </c>
      <c r="T55" s="16" t="s">
        <v>142</v>
      </c>
      <c r="U55" s="11" t="n">
        <v>38</v>
      </c>
      <c r="V55" s="17"/>
      <c r="W55" s="17"/>
      <c r="X55" s="17"/>
      <c r="Y55" s="18" t="str">
        <f aca="false">IF(ISNUMBER(V55),(O55-V55)*100,"pending")</f>
        <v>pending</v>
      </c>
    </row>
    <row r="56" customFormat="false" ht="21.75" hidden="false" customHeight="true" outlineLevel="0" collapsed="false">
      <c r="A56" s="5" t="s">
        <v>274</v>
      </c>
      <c r="B56" s="7" t="n">
        <v>52</v>
      </c>
      <c r="C56" s="5" t="s">
        <v>271</v>
      </c>
      <c r="D56" s="5" t="s">
        <v>145</v>
      </c>
      <c r="E56" s="5" t="s">
        <v>206</v>
      </c>
      <c r="F56" s="7" t="n">
        <v>18</v>
      </c>
      <c r="G56" s="5" t="s">
        <v>148</v>
      </c>
      <c r="H56" s="5" t="s">
        <v>170</v>
      </c>
      <c r="I56" s="6" t="n">
        <v>71</v>
      </c>
      <c r="J56" s="6" t="n">
        <v>51</v>
      </c>
      <c r="K56" s="6" t="n">
        <v>1571</v>
      </c>
      <c r="L56" s="6" t="n">
        <v>1427</v>
      </c>
      <c r="M56" s="6" t="n">
        <v>0</v>
      </c>
      <c r="N56" s="6" t="n">
        <v>0</v>
      </c>
      <c r="O56" s="14" t="n">
        <v>0.5220965778222</v>
      </c>
      <c r="P56" s="14" t="n">
        <v>0.25</v>
      </c>
      <c r="Q56" s="14" t="n">
        <v>0.2279034221778</v>
      </c>
      <c r="R56" s="15" t="n">
        <v>1.58685833763079</v>
      </c>
      <c r="S56" s="15" t="n">
        <v>0.913141662369208</v>
      </c>
      <c r="T56" s="16" t="s">
        <v>142</v>
      </c>
      <c r="U56" s="11" t="n">
        <v>38</v>
      </c>
      <c r="V56" s="17"/>
      <c r="W56" s="17"/>
      <c r="X56" s="17"/>
      <c r="Y56" s="18" t="str">
        <f aca="false">IF(ISNUMBER(V56),(O56-V56)*100,"pending")</f>
        <v>pending</v>
      </c>
    </row>
    <row r="57" customFormat="false" ht="21.75" hidden="false" customHeight="true" outlineLevel="0" collapsed="false">
      <c r="A57" s="5" t="s">
        <v>275</v>
      </c>
      <c r="B57" s="7" t="n">
        <v>53</v>
      </c>
      <c r="C57" s="5" t="s">
        <v>271</v>
      </c>
      <c r="D57" s="5" t="s">
        <v>133</v>
      </c>
      <c r="E57" s="5" t="s">
        <v>134</v>
      </c>
      <c r="F57" s="7" t="n">
        <v>2240</v>
      </c>
      <c r="G57" s="5" t="s">
        <v>141</v>
      </c>
      <c r="H57" s="5" t="s">
        <v>135</v>
      </c>
      <c r="I57" s="6" t="n">
        <v>44</v>
      </c>
      <c r="J57" s="6" t="n">
        <v>15</v>
      </c>
      <c r="K57" s="6" t="n">
        <v>1731</v>
      </c>
      <c r="L57" s="6" t="n">
        <v>1834</v>
      </c>
      <c r="M57" s="6" t="n">
        <v>0</v>
      </c>
      <c r="N57" s="6" t="n">
        <v>16</v>
      </c>
      <c r="O57" s="14" t="n">
        <v>0.283012353159553</v>
      </c>
      <c r="P57" s="14" t="n">
        <v>0.25</v>
      </c>
      <c r="Q57" s="14" t="n">
        <v>0.466987646840447</v>
      </c>
      <c r="R57" s="15" t="n">
        <v>1.04324528758943</v>
      </c>
      <c r="S57" s="15" t="n">
        <v>1.45675471241058</v>
      </c>
      <c r="T57" s="16" t="s">
        <v>142</v>
      </c>
      <c r="U57" s="11" t="n">
        <v>38</v>
      </c>
      <c r="V57" s="17"/>
      <c r="W57" s="17"/>
      <c r="X57" s="17"/>
      <c r="Y57" s="18" t="str">
        <f aca="false">IF(ISNUMBER(V57),(O57-V57)*100,"pending")</f>
        <v>pending</v>
      </c>
    </row>
    <row r="58" customFormat="false" ht="21.75" hidden="false" customHeight="true" outlineLevel="0" collapsed="false">
      <c r="A58" s="5" t="s">
        <v>276</v>
      </c>
      <c r="B58" s="7" t="n">
        <v>54</v>
      </c>
      <c r="C58" s="5" t="s">
        <v>271</v>
      </c>
      <c r="D58" s="5" t="s">
        <v>133</v>
      </c>
      <c r="E58" s="5" t="s">
        <v>188</v>
      </c>
      <c r="F58" s="7" t="n">
        <v>530</v>
      </c>
      <c r="G58" s="5" t="s">
        <v>136</v>
      </c>
      <c r="H58" s="5" t="s">
        <v>140</v>
      </c>
      <c r="I58" s="6" t="n">
        <v>61</v>
      </c>
      <c r="J58" s="6" t="n">
        <v>22</v>
      </c>
      <c r="K58" s="6" t="n">
        <v>1529</v>
      </c>
      <c r="L58" s="6" t="n">
        <v>1784</v>
      </c>
      <c r="M58" s="6" t="n">
        <v>0</v>
      </c>
      <c r="N58" s="6" t="n">
        <v>0</v>
      </c>
      <c r="O58" s="14" t="n">
        <v>0.146064608323503</v>
      </c>
      <c r="P58" s="14" t="n">
        <v>0.22</v>
      </c>
      <c r="Q58" s="14" t="n">
        <v>0.633935391676497</v>
      </c>
      <c r="R58" s="15" t="n">
        <v>0.682924819308172</v>
      </c>
      <c r="S58" s="15" t="n">
        <v>1.81707518069183</v>
      </c>
      <c r="T58" s="16" t="s">
        <v>137</v>
      </c>
      <c r="U58" s="11" t="n">
        <v>38</v>
      </c>
      <c r="V58" s="17"/>
      <c r="W58" s="17"/>
      <c r="X58" s="17"/>
      <c r="Y58" s="18" t="str">
        <f aca="false">IF(ISNUMBER(V58),(O58-V58)*100,"pending")</f>
        <v>pending</v>
      </c>
    </row>
    <row r="59" customFormat="false" ht="21.75" hidden="false" customHeight="true" outlineLevel="0" collapsed="false">
      <c r="A59" s="5" t="s">
        <v>277</v>
      </c>
      <c r="B59" s="7" t="n">
        <v>55</v>
      </c>
      <c r="C59" s="5" t="s">
        <v>278</v>
      </c>
      <c r="D59" s="5" t="s">
        <v>174</v>
      </c>
      <c r="E59" s="5" t="s">
        <v>175</v>
      </c>
      <c r="F59" s="7" t="n">
        <v>10</v>
      </c>
      <c r="G59" s="5" t="s">
        <v>181</v>
      </c>
      <c r="H59" s="5" t="s">
        <v>176</v>
      </c>
      <c r="I59" s="6" t="n">
        <v>82</v>
      </c>
      <c r="J59" s="6" t="n">
        <v>42</v>
      </c>
      <c r="K59" s="6" t="n">
        <v>1467</v>
      </c>
      <c r="L59" s="6" t="n">
        <v>1637</v>
      </c>
      <c r="M59" s="6" t="n">
        <v>0</v>
      </c>
      <c r="N59" s="6" t="n">
        <v>0</v>
      </c>
      <c r="O59" s="14" t="n">
        <v>0.21307254362415</v>
      </c>
      <c r="P59" s="14" t="n">
        <v>0.22</v>
      </c>
      <c r="Q59" s="14" t="n">
        <v>0.56692745637585</v>
      </c>
      <c r="R59" s="15" t="n">
        <v>0.856122768184807</v>
      </c>
      <c r="S59" s="15" t="n">
        <v>1.64387723181519</v>
      </c>
      <c r="T59" s="16" t="s">
        <v>137</v>
      </c>
      <c r="U59" s="11" t="n">
        <v>38</v>
      </c>
      <c r="V59" s="17"/>
      <c r="W59" s="17"/>
      <c r="X59" s="17"/>
      <c r="Y59" s="18" t="str">
        <f aca="false">IF(ISNUMBER(V59),(O59-V59)*100,"pending")</f>
        <v>pending</v>
      </c>
    </row>
    <row r="60" customFormat="false" ht="21.75" hidden="false" customHeight="true" outlineLevel="0" collapsed="false">
      <c r="A60" s="5" t="s">
        <v>279</v>
      </c>
      <c r="B60" s="7" t="n">
        <v>56</v>
      </c>
      <c r="C60" s="5" t="s">
        <v>278</v>
      </c>
      <c r="D60" s="5" t="s">
        <v>174</v>
      </c>
      <c r="E60" s="5" t="s">
        <v>165</v>
      </c>
      <c r="F60" s="7" t="n">
        <v>8</v>
      </c>
      <c r="G60" s="5" t="s">
        <v>177</v>
      </c>
      <c r="H60" s="5" t="s">
        <v>180</v>
      </c>
      <c r="I60" s="6" t="n">
        <v>23</v>
      </c>
      <c r="J60" s="6" t="n">
        <v>9</v>
      </c>
      <c r="K60" s="6" t="n">
        <v>1933</v>
      </c>
      <c r="L60" s="6" t="n">
        <v>1910</v>
      </c>
      <c r="M60" s="6" t="n">
        <v>0</v>
      </c>
      <c r="N60" s="6" t="n">
        <v>0</v>
      </c>
      <c r="O60" s="14" t="n">
        <v>0.383797003596798</v>
      </c>
      <c r="P60" s="14" t="n">
        <v>0.28</v>
      </c>
      <c r="Q60" s="14" t="n">
        <v>0.336202996403202</v>
      </c>
      <c r="R60" s="15" t="n">
        <v>1.30513031319057</v>
      </c>
      <c r="S60" s="15" t="n">
        <v>1.19486968680943</v>
      </c>
      <c r="T60" s="16" t="s">
        <v>142</v>
      </c>
      <c r="U60" s="11" t="n">
        <v>38</v>
      </c>
      <c r="V60" s="17"/>
      <c r="W60" s="17"/>
      <c r="X60" s="17"/>
      <c r="Y60" s="18" t="str">
        <f aca="false">IF(ISNUMBER(V60),(O60-V60)*100,"pending")</f>
        <v>pending</v>
      </c>
    </row>
    <row r="61" customFormat="false" ht="21.75" hidden="false" customHeight="true" outlineLevel="0" collapsed="false">
      <c r="A61" s="5" t="s">
        <v>280</v>
      </c>
      <c r="B61" s="7" t="n">
        <v>57</v>
      </c>
      <c r="C61" s="5" t="s">
        <v>278</v>
      </c>
      <c r="D61" s="5" t="s">
        <v>183</v>
      </c>
      <c r="E61" s="5" t="s">
        <v>184</v>
      </c>
      <c r="F61" s="7" t="n">
        <v>180</v>
      </c>
      <c r="G61" s="5" t="s">
        <v>186</v>
      </c>
      <c r="H61" s="5" t="s">
        <v>189</v>
      </c>
      <c r="I61" s="6" t="n">
        <v>18</v>
      </c>
      <c r="J61" s="6" t="n">
        <v>43</v>
      </c>
      <c r="K61" s="6" t="n">
        <v>1879</v>
      </c>
      <c r="L61" s="6" t="n">
        <v>1660</v>
      </c>
      <c r="M61" s="6" t="n">
        <v>0</v>
      </c>
      <c r="N61" s="6" t="n">
        <v>0</v>
      </c>
      <c r="O61" s="14" t="n">
        <v>0.607729684239186</v>
      </c>
      <c r="P61" s="14" t="n">
        <v>0.22</v>
      </c>
      <c r="Q61" s="14" t="n">
        <v>0.172270315760814</v>
      </c>
      <c r="R61" s="15" t="n">
        <v>1.74639656604506</v>
      </c>
      <c r="S61" s="15" t="n">
        <v>0.753603433954943</v>
      </c>
      <c r="T61" s="16" t="s">
        <v>142</v>
      </c>
      <c r="U61" s="11" t="n">
        <v>38</v>
      </c>
      <c r="V61" s="17"/>
      <c r="W61" s="17"/>
      <c r="X61" s="17"/>
      <c r="Y61" s="18" t="str">
        <f aca="false">IF(ISNUMBER(V61),(O61-V61)*100,"pending")</f>
        <v>pending</v>
      </c>
    </row>
    <row r="62" customFormat="false" ht="21.75" hidden="false" customHeight="true" outlineLevel="0" collapsed="false">
      <c r="A62" s="5" t="s">
        <v>281</v>
      </c>
      <c r="B62" s="7" t="n">
        <v>58</v>
      </c>
      <c r="C62" s="5" t="s">
        <v>278</v>
      </c>
      <c r="D62" s="5" t="s">
        <v>183</v>
      </c>
      <c r="E62" s="5" t="s">
        <v>219</v>
      </c>
      <c r="F62" s="7" t="n">
        <v>270</v>
      </c>
      <c r="G62" s="5" t="s">
        <v>190</v>
      </c>
      <c r="H62" s="5" t="s">
        <v>185</v>
      </c>
      <c r="I62" s="6" t="n">
        <v>40</v>
      </c>
      <c r="J62" s="6" t="n">
        <v>7</v>
      </c>
      <c r="K62" s="6" t="n">
        <v>1614</v>
      </c>
      <c r="L62" s="6" t="n">
        <v>1959</v>
      </c>
      <c r="M62" s="6" t="n">
        <v>0</v>
      </c>
      <c r="N62" s="6" t="n">
        <v>0</v>
      </c>
      <c r="O62" s="14" t="n">
        <v>0.0989599341677136</v>
      </c>
      <c r="P62" s="14" t="n">
        <v>0.18</v>
      </c>
      <c r="Q62" s="14" t="n">
        <v>0.721040065832287</v>
      </c>
      <c r="R62" s="15" t="n">
        <v>0.525389550604674</v>
      </c>
      <c r="S62" s="15" t="n">
        <v>1.97461044939533</v>
      </c>
      <c r="T62" s="16" t="s">
        <v>137</v>
      </c>
      <c r="U62" s="11" t="n">
        <v>38</v>
      </c>
      <c r="V62" s="17"/>
      <c r="W62" s="17"/>
      <c r="X62" s="17"/>
      <c r="Y62" s="18" t="str">
        <f aca="false">IF(ISNUMBER(V62),(O62-V62)*100,"pending")</f>
        <v>pending</v>
      </c>
    </row>
    <row r="63" customFormat="false" ht="21.75" hidden="false" customHeight="true" outlineLevel="0" collapsed="false">
      <c r="A63" s="5" t="s">
        <v>282</v>
      </c>
      <c r="B63" s="7" t="n">
        <v>59</v>
      </c>
      <c r="C63" s="5" t="s">
        <v>278</v>
      </c>
      <c r="D63" s="5" t="s">
        <v>150</v>
      </c>
      <c r="E63" s="5" t="s">
        <v>151</v>
      </c>
      <c r="F63" s="7" t="n">
        <v>30</v>
      </c>
      <c r="G63" s="5" t="s">
        <v>163</v>
      </c>
      <c r="H63" s="5" t="s">
        <v>152</v>
      </c>
      <c r="I63" s="6" t="n">
        <v>25</v>
      </c>
      <c r="J63" s="6" t="n">
        <v>14</v>
      </c>
      <c r="K63" s="6" t="n">
        <v>1880</v>
      </c>
      <c r="L63" s="6" t="n">
        <v>1747</v>
      </c>
      <c r="M63" s="6" t="n">
        <v>0</v>
      </c>
      <c r="N63" s="6" t="n">
        <v>0</v>
      </c>
      <c r="O63" s="14" t="n">
        <v>0.511927789106079</v>
      </c>
      <c r="P63" s="14" t="n">
        <v>0.25</v>
      </c>
      <c r="Q63" s="14" t="n">
        <v>0.238072210893921</v>
      </c>
      <c r="R63" s="15" t="n">
        <v>1.56225432610165</v>
      </c>
      <c r="S63" s="15" t="n">
        <v>0.937745673898347</v>
      </c>
      <c r="T63" s="16" t="s">
        <v>142</v>
      </c>
      <c r="U63" s="11" t="n">
        <v>38</v>
      </c>
      <c r="V63" s="17"/>
      <c r="W63" s="17"/>
      <c r="X63" s="17"/>
      <c r="Y63" s="18" t="str">
        <f aca="false">IF(ISNUMBER(V63),(O63-V63)*100,"pending")</f>
        <v>pending</v>
      </c>
    </row>
    <row r="64" customFormat="false" ht="21.75" hidden="false" customHeight="true" outlineLevel="0" collapsed="false">
      <c r="A64" s="5" t="s">
        <v>283</v>
      </c>
      <c r="B64" s="7" t="n">
        <v>60</v>
      </c>
      <c r="C64" s="5" t="s">
        <v>278</v>
      </c>
      <c r="D64" s="5" t="s">
        <v>150</v>
      </c>
      <c r="E64" s="5" t="s">
        <v>169</v>
      </c>
      <c r="F64" s="7" t="n">
        <v>4</v>
      </c>
      <c r="G64" s="5" t="s">
        <v>153</v>
      </c>
      <c r="H64" s="5" t="s">
        <v>162</v>
      </c>
      <c r="I64" s="6" t="n">
        <v>39</v>
      </c>
      <c r="J64" s="6" t="n">
        <v>26</v>
      </c>
      <c r="K64" s="6" t="n">
        <v>1833</v>
      </c>
      <c r="L64" s="6" t="n">
        <v>1774</v>
      </c>
      <c r="M64" s="6" t="n">
        <v>0</v>
      </c>
      <c r="N64" s="6" t="n">
        <v>0</v>
      </c>
      <c r="O64" s="14" t="n">
        <v>0.438075719110258</v>
      </c>
      <c r="P64" s="14" t="n">
        <v>0.25</v>
      </c>
      <c r="Q64" s="14" t="n">
        <v>0.311924280889742</v>
      </c>
      <c r="R64" s="15" t="n">
        <v>1.39091155347447</v>
      </c>
      <c r="S64" s="15" t="n">
        <v>1.10908844652553</v>
      </c>
      <c r="T64" s="16" t="s">
        <v>142</v>
      </c>
      <c r="U64" s="11" t="n">
        <v>38</v>
      </c>
      <c r="V64" s="17"/>
      <c r="W64" s="17"/>
      <c r="X64" s="17"/>
      <c r="Y64" s="18" t="str">
        <f aca="false">IF(ISNUMBER(V64),(O64-V64)*100,"pending")</f>
        <v>pending</v>
      </c>
    </row>
    <row r="65" customFormat="false" ht="21.75" hidden="false" customHeight="true" outlineLevel="0" collapsed="false">
      <c r="A65" s="5" t="s">
        <v>284</v>
      </c>
      <c r="B65" s="7" t="n">
        <v>61</v>
      </c>
      <c r="C65" s="5" t="s">
        <v>285</v>
      </c>
      <c r="D65" s="5" t="s">
        <v>211</v>
      </c>
      <c r="E65" s="5" t="s">
        <v>157</v>
      </c>
      <c r="F65" s="7" t="n">
        <v>70</v>
      </c>
      <c r="G65" s="5" t="s">
        <v>216</v>
      </c>
      <c r="H65" s="5" t="s">
        <v>212</v>
      </c>
      <c r="I65" s="6" t="n">
        <v>29</v>
      </c>
      <c r="J65" s="6" t="n">
        <v>3</v>
      </c>
      <c r="K65" s="6" t="n">
        <v>1922</v>
      </c>
      <c r="L65" s="6" t="n">
        <v>2063</v>
      </c>
      <c r="M65" s="6" t="n">
        <v>0</v>
      </c>
      <c r="N65" s="6" t="n">
        <v>0</v>
      </c>
      <c r="O65" s="14" t="n">
        <v>0.230652455565362</v>
      </c>
      <c r="P65" s="14" t="n">
        <v>0.25</v>
      </c>
      <c r="Q65" s="14" t="n">
        <v>0.519347544434638</v>
      </c>
      <c r="R65" s="15" t="n">
        <v>0.919824969749816</v>
      </c>
      <c r="S65" s="15" t="n">
        <v>1.58017503025018</v>
      </c>
      <c r="T65" s="16" t="s">
        <v>137</v>
      </c>
      <c r="U65" s="11" t="n">
        <v>38</v>
      </c>
      <c r="V65" s="17"/>
      <c r="W65" s="17"/>
      <c r="X65" s="17"/>
      <c r="Y65" s="18" t="str">
        <f aca="false">IF(ISNUMBER(V65),(O65-V65)*100,"pending")</f>
        <v>pending</v>
      </c>
    </row>
    <row r="66" customFormat="false" ht="21.75" hidden="false" customHeight="true" outlineLevel="0" collapsed="false">
      <c r="A66" s="5" t="s">
        <v>286</v>
      </c>
      <c r="B66" s="7" t="n">
        <v>62</v>
      </c>
      <c r="C66" s="5" t="s">
        <v>285</v>
      </c>
      <c r="D66" s="5" t="s">
        <v>211</v>
      </c>
      <c r="E66" s="5" t="s">
        <v>146</v>
      </c>
      <c r="F66" s="7" t="n">
        <v>76</v>
      </c>
      <c r="G66" s="5" t="s">
        <v>213</v>
      </c>
      <c r="H66" s="5" t="s">
        <v>215</v>
      </c>
      <c r="I66" s="6" t="n">
        <v>19</v>
      </c>
      <c r="J66" s="6" t="n">
        <v>58</v>
      </c>
      <c r="K66" s="6" t="n">
        <v>1869</v>
      </c>
      <c r="L66" s="6" t="n">
        <v>1583</v>
      </c>
      <c r="M66" s="6" t="n">
        <v>0</v>
      </c>
      <c r="N66" s="6" t="n">
        <v>0</v>
      </c>
      <c r="O66" s="14" t="n">
        <v>0.653949587761816</v>
      </c>
      <c r="P66" s="14" t="n">
        <v>0.22</v>
      </c>
      <c r="Q66" s="14" t="n">
        <v>0.126050412238184</v>
      </c>
      <c r="R66" s="15" t="n">
        <v>1.87450921801872</v>
      </c>
      <c r="S66" s="15" t="n">
        <v>0.62549078198128</v>
      </c>
      <c r="T66" s="16" t="s">
        <v>142</v>
      </c>
      <c r="U66" s="11" t="n">
        <v>38</v>
      </c>
      <c r="V66" s="17"/>
      <c r="W66" s="17"/>
      <c r="X66" s="17"/>
      <c r="Y66" s="18" t="str">
        <f aca="false">IF(ISNUMBER(V66),(O66-V66)*100,"pending")</f>
        <v>pending</v>
      </c>
    </row>
    <row r="67" customFormat="false" ht="21.75" hidden="false" customHeight="true" outlineLevel="0" collapsed="false">
      <c r="A67" s="5" t="s">
        <v>287</v>
      </c>
      <c r="B67" s="7" t="n">
        <v>63</v>
      </c>
      <c r="C67" s="5" t="s">
        <v>285</v>
      </c>
      <c r="D67" s="5" t="s">
        <v>202</v>
      </c>
      <c r="E67" s="5" t="s">
        <v>206</v>
      </c>
      <c r="F67" s="7" t="n">
        <v>18</v>
      </c>
      <c r="G67" s="5" t="s">
        <v>208</v>
      </c>
      <c r="H67" s="5" t="s">
        <v>203</v>
      </c>
      <c r="I67" s="6" t="n">
        <v>34</v>
      </c>
      <c r="J67" s="6" t="n">
        <v>20</v>
      </c>
      <c r="K67" s="6" t="n">
        <v>1660</v>
      </c>
      <c r="L67" s="6" t="n">
        <v>1754</v>
      </c>
      <c r="M67" s="6" t="n">
        <v>0</v>
      </c>
      <c r="N67" s="6" t="n">
        <v>0</v>
      </c>
      <c r="O67" s="14" t="n">
        <v>0.275947490924945</v>
      </c>
      <c r="P67" s="14" t="n">
        <v>0.25</v>
      </c>
      <c r="Q67" s="14" t="n">
        <v>0.474052509075055</v>
      </c>
      <c r="R67" s="15" t="n">
        <v>1.02695212131633</v>
      </c>
      <c r="S67" s="15" t="n">
        <v>1.47304787868367</v>
      </c>
      <c r="T67" s="16" t="s">
        <v>142</v>
      </c>
      <c r="U67" s="11" t="n">
        <v>38</v>
      </c>
      <c r="V67" s="17"/>
      <c r="W67" s="17"/>
      <c r="X67" s="17"/>
      <c r="Y67" s="18" t="str">
        <f aca="false">IF(ISNUMBER(V67),(O67-V67)*100,"pending")</f>
        <v>pending</v>
      </c>
    </row>
    <row r="68" customFormat="false" ht="21.75" hidden="false" customHeight="true" outlineLevel="0" collapsed="false">
      <c r="A68" s="5" t="s">
        <v>288</v>
      </c>
      <c r="B68" s="7" t="n">
        <v>64</v>
      </c>
      <c r="C68" s="5" t="s">
        <v>285</v>
      </c>
      <c r="D68" s="5" t="s">
        <v>202</v>
      </c>
      <c r="E68" s="5" t="s">
        <v>161</v>
      </c>
      <c r="F68" s="7" t="n">
        <v>5</v>
      </c>
      <c r="G68" s="5" t="s">
        <v>204</v>
      </c>
      <c r="H68" s="5" t="s">
        <v>207</v>
      </c>
      <c r="I68" s="6" t="n">
        <v>86</v>
      </c>
      <c r="J68" s="6" t="n">
        <v>8</v>
      </c>
      <c r="K68" s="6" t="n">
        <v>1586</v>
      </c>
      <c r="L68" s="6" t="n">
        <v>1849</v>
      </c>
      <c r="M68" s="6" t="n">
        <v>0</v>
      </c>
      <c r="N68" s="6" t="n">
        <v>0</v>
      </c>
      <c r="O68" s="14" t="n">
        <v>0.140676264694142</v>
      </c>
      <c r="P68" s="14" t="n">
        <v>0.22</v>
      </c>
      <c r="Q68" s="14" t="n">
        <v>0.639323735305858</v>
      </c>
      <c r="R68" s="15" t="n">
        <v>0.667792258903821</v>
      </c>
      <c r="S68" s="15" t="n">
        <v>1.83220774109618</v>
      </c>
      <c r="T68" s="16" t="s">
        <v>137</v>
      </c>
      <c r="U68" s="11" t="n">
        <v>38</v>
      </c>
      <c r="V68" s="17"/>
      <c r="W68" s="17"/>
      <c r="X68" s="17"/>
      <c r="Y68" s="18" t="str">
        <f aca="false">IF(ISNUMBER(V68),(O68-V68)*100,"pending")</f>
        <v>pending</v>
      </c>
    </row>
    <row r="69" customFormat="false" ht="21.75" hidden="false" customHeight="true" outlineLevel="0" collapsed="false">
      <c r="A69" s="5" t="s">
        <v>289</v>
      </c>
      <c r="B69" s="7" t="n">
        <v>65</v>
      </c>
      <c r="C69" s="5" t="s">
        <v>285</v>
      </c>
      <c r="D69" s="5" t="s">
        <v>193</v>
      </c>
      <c r="E69" s="5" t="s">
        <v>179</v>
      </c>
      <c r="F69" s="7" t="n">
        <v>15</v>
      </c>
      <c r="G69" s="5" t="s">
        <v>200</v>
      </c>
      <c r="H69" s="5" t="s">
        <v>195</v>
      </c>
      <c r="I69" s="6" t="n">
        <v>68</v>
      </c>
      <c r="J69" s="6" t="n">
        <v>60</v>
      </c>
      <c r="K69" s="6" t="n">
        <v>1561</v>
      </c>
      <c r="L69" s="6" t="n">
        <v>1592</v>
      </c>
      <c r="M69" s="6" t="n">
        <v>0</v>
      </c>
      <c r="N69" s="6" t="n">
        <v>0</v>
      </c>
      <c r="O69" s="14" t="n">
        <v>0.327963907380234</v>
      </c>
      <c r="P69" s="14" t="n">
        <v>0.28</v>
      </c>
      <c r="Q69" s="14" t="n">
        <v>0.392036092619766</v>
      </c>
      <c r="R69" s="15" t="n">
        <v>1.17573326123799</v>
      </c>
      <c r="S69" s="15" t="n">
        <v>1.32426673876201</v>
      </c>
      <c r="T69" s="16" t="s">
        <v>142</v>
      </c>
      <c r="U69" s="11" t="n">
        <v>38</v>
      </c>
      <c r="V69" s="17"/>
      <c r="W69" s="17"/>
      <c r="X69" s="17"/>
      <c r="Y69" s="18" t="str">
        <f aca="false">IF(ISNUMBER(V69),(O69-V69)*100,"pending")</f>
        <v>pending</v>
      </c>
    </row>
    <row r="70" customFormat="false" ht="21.75" hidden="false" customHeight="true" outlineLevel="0" collapsed="false">
      <c r="A70" s="5" t="s">
        <v>290</v>
      </c>
      <c r="B70" s="7" t="n">
        <v>66</v>
      </c>
      <c r="C70" s="5" t="s">
        <v>285</v>
      </c>
      <c r="D70" s="5" t="s">
        <v>193</v>
      </c>
      <c r="E70" s="5" t="s">
        <v>139</v>
      </c>
      <c r="F70" s="7" t="n">
        <v>1557</v>
      </c>
      <c r="G70" s="5" t="s">
        <v>196</v>
      </c>
      <c r="H70" s="5" t="s">
        <v>199</v>
      </c>
      <c r="I70" s="6" t="n">
        <v>16</v>
      </c>
      <c r="J70" s="6" t="n">
        <v>1</v>
      </c>
      <c r="K70" s="6" t="n">
        <v>1890</v>
      </c>
      <c r="L70" s="6" t="n">
        <v>2171</v>
      </c>
      <c r="M70" s="6" t="n">
        <v>0</v>
      </c>
      <c r="N70" s="6" t="n">
        <v>7</v>
      </c>
      <c r="O70" s="14" t="n">
        <v>0.133522234751665</v>
      </c>
      <c r="P70" s="14" t="n">
        <v>0.22</v>
      </c>
      <c r="Q70" s="14" t="n">
        <v>0.646477765248335</v>
      </c>
      <c r="R70" s="15" t="n">
        <v>0.647336260723904</v>
      </c>
      <c r="S70" s="15" t="n">
        <v>1.8526637392761</v>
      </c>
      <c r="T70" s="16" t="s">
        <v>137</v>
      </c>
      <c r="U70" s="11" t="n">
        <v>38</v>
      </c>
      <c r="V70" s="17"/>
      <c r="W70" s="17"/>
      <c r="X70" s="17"/>
      <c r="Y70" s="18" t="str">
        <f aca="false">IF(ISNUMBER(V70),(O70-V70)*100,"pending")</f>
        <v>pending</v>
      </c>
    </row>
    <row r="71" customFormat="false" ht="21.75" hidden="false" customHeight="true" outlineLevel="0" collapsed="false">
      <c r="A71" s="5" t="s">
        <v>291</v>
      </c>
      <c r="B71" s="7" t="n">
        <v>67</v>
      </c>
      <c r="C71" s="5" t="s">
        <v>292</v>
      </c>
      <c r="D71" s="5" t="s">
        <v>227</v>
      </c>
      <c r="E71" s="5" t="s">
        <v>165</v>
      </c>
      <c r="F71" s="7" t="n">
        <v>8</v>
      </c>
      <c r="G71" s="5" t="s">
        <v>229</v>
      </c>
      <c r="H71" s="5" t="s">
        <v>231</v>
      </c>
      <c r="I71" s="6" t="n">
        <v>30</v>
      </c>
      <c r="J71" s="6" t="n">
        <v>4</v>
      </c>
      <c r="K71" s="6" t="n">
        <v>1743</v>
      </c>
      <c r="L71" s="6" t="n">
        <v>2042</v>
      </c>
      <c r="M71" s="6" t="n">
        <v>0</v>
      </c>
      <c r="N71" s="6" t="n">
        <v>0</v>
      </c>
      <c r="O71" s="14" t="n">
        <v>0.118340766404085</v>
      </c>
      <c r="P71" s="14" t="n">
        <v>0.22</v>
      </c>
      <c r="Q71" s="14" t="n">
        <v>0.661659233595915</v>
      </c>
      <c r="R71" s="15" t="n">
        <v>0.602385655241071</v>
      </c>
      <c r="S71" s="15" t="n">
        <v>1.89761434475893</v>
      </c>
      <c r="T71" s="16" t="s">
        <v>137</v>
      </c>
      <c r="U71" s="11" t="n">
        <v>38</v>
      </c>
      <c r="V71" s="17"/>
      <c r="W71" s="17"/>
      <c r="X71" s="17"/>
      <c r="Y71" s="18" t="str">
        <f aca="false">IF(ISNUMBER(V71),(O71-V71)*100,"pending")</f>
        <v>pending</v>
      </c>
    </row>
    <row r="72" customFormat="false" ht="21.75" hidden="false" customHeight="true" outlineLevel="0" collapsed="false">
      <c r="A72" s="5" t="s">
        <v>293</v>
      </c>
      <c r="B72" s="7" t="n">
        <v>68</v>
      </c>
      <c r="C72" s="5" t="s">
        <v>292</v>
      </c>
      <c r="D72" s="5" t="s">
        <v>227</v>
      </c>
      <c r="E72" s="5" t="s">
        <v>175</v>
      </c>
      <c r="F72" s="7" t="n">
        <v>10</v>
      </c>
      <c r="G72" s="5" t="s">
        <v>232</v>
      </c>
      <c r="H72" s="5" t="s">
        <v>228</v>
      </c>
      <c r="I72" s="6" t="n">
        <v>10</v>
      </c>
      <c r="J72" s="6" t="n">
        <v>72</v>
      </c>
      <c r="K72" s="6" t="n">
        <v>1933</v>
      </c>
      <c r="L72" s="6" t="n">
        <v>1509</v>
      </c>
      <c r="M72" s="6" t="n">
        <v>0</v>
      </c>
      <c r="N72" s="6" t="n">
        <v>0</v>
      </c>
      <c r="O72" s="14" t="n">
        <v>0.754302958716204</v>
      </c>
      <c r="P72" s="14" t="n">
        <v>0.18</v>
      </c>
      <c r="Q72" s="14" t="n">
        <v>0.0656970412837958</v>
      </c>
      <c r="R72" s="15" t="n">
        <v>2.08945058472841</v>
      </c>
      <c r="S72" s="15" t="n">
        <v>0.410549415271587</v>
      </c>
      <c r="T72" s="16" t="s">
        <v>137</v>
      </c>
      <c r="U72" s="11" t="n">
        <v>38</v>
      </c>
      <c r="V72" s="17"/>
      <c r="W72" s="17"/>
      <c r="X72" s="17"/>
      <c r="Y72" s="18" t="str">
        <f aca="false">IF(ISNUMBER(V72),(O72-V72)*100,"pending")</f>
        <v>pending</v>
      </c>
    </row>
    <row r="73" customFormat="false" ht="21.75" hidden="false" customHeight="true" outlineLevel="0" collapsed="false">
      <c r="A73" s="5" t="s">
        <v>294</v>
      </c>
      <c r="B73" s="7" t="n">
        <v>69</v>
      </c>
      <c r="C73" s="5" t="s">
        <v>292</v>
      </c>
      <c r="D73" s="5" t="s">
        <v>218</v>
      </c>
      <c r="E73" s="5" t="s">
        <v>219</v>
      </c>
      <c r="F73" s="7" t="n">
        <v>270</v>
      </c>
      <c r="G73" s="5" t="s">
        <v>221</v>
      </c>
      <c r="H73" s="5" t="s">
        <v>223</v>
      </c>
      <c r="I73" s="6" t="n">
        <v>35</v>
      </c>
      <c r="J73" s="6" t="n">
        <v>24</v>
      </c>
      <c r="K73" s="6" t="n">
        <v>1728</v>
      </c>
      <c r="L73" s="6" t="n">
        <v>1818</v>
      </c>
      <c r="M73" s="6" t="n">
        <v>0</v>
      </c>
      <c r="N73" s="6" t="n">
        <v>0</v>
      </c>
      <c r="O73" s="14" t="n">
        <v>0.279975688749951</v>
      </c>
      <c r="P73" s="14" t="n">
        <v>0.25</v>
      </c>
      <c r="Q73" s="14" t="n">
        <v>0.470024311250049</v>
      </c>
      <c r="R73" s="15" t="n">
        <v>1.03625330332048</v>
      </c>
      <c r="S73" s="15" t="n">
        <v>1.46374669667952</v>
      </c>
      <c r="T73" s="16" t="s">
        <v>142</v>
      </c>
      <c r="U73" s="11" t="n">
        <v>38</v>
      </c>
      <c r="V73" s="17"/>
      <c r="W73" s="17"/>
      <c r="X73" s="17"/>
      <c r="Y73" s="18" t="str">
        <f aca="false">IF(ISNUMBER(V73),(O73-V73)*100,"pending")</f>
        <v>pending</v>
      </c>
    </row>
    <row r="74" customFormat="false" ht="21.75" hidden="false" customHeight="true" outlineLevel="0" collapsed="false">
      <c r="A74" s="5" t="s">
        <v>295</v>
      </c>
      <c r="B74" s="7" t="n">
        <v>70</v>
      </c>
      <c r="C74" s="5" t="s">
        <v>292</v>
      </c>
      <c r="D74" s="5" t="s">
        <v>218</v>
      </c>
      <c r="E74" s="5" t="s">
        <v>184</v>
      </c>
      <c r="F74" s="7" t="n">
        <v>180</v>
      </c>
      <c r="G74" s="5" t="s">
        <v>224</v>
      </c>
      <c r="H74" s="5" t="s">
        <v>220</v>
      </c>
      <c r="I74" s="6" t="n">
        <v>66</v>
      </c>
      <c r="J74" s="6" t="n">
        <v>2</v>
      </c>
      <c r="K74" s="6" t="n">
        <v>1691</v>
      </c>
      <c r="L74" s="6" t="n">
        <v>2113</v>
      </c>
      <c r="M74" s="6" t="n">
        <v>0</v>
      </c>
      <c r="N74" s="6" t="n">
        <v>0</v>
      </c>
      <c r="O74" s="14" t="n">
        <v>0.0663961796604679</v>
      </c>
      <c r="P74" s="14" t="n">
        <v>0.18</v>
      </c>
      <c r="Q74" s="14" t="n">
        <v>0.753603820339532</v>
      </c>
      <c r="R74" s="15" t="n">
        <v>0.413189820247436</v>
      </c>
      <c r="S74" s="15" t="n">
        <v>2.08681017975256</v>
      </c>
      <c r="T74" s="16" t="s">
        <v>137</v>
      </c>
      <c r="U74" s="11" t="n">
        <v>38</v>
      </c>
      <c r="V74" s="17"/>
      <c r="W74" s="17"/>
      <c r="X74" s="17"/>
      <c r="Y74" s="18" t="str">
        <f aca="false">IF(ISNUMBER(V74),(O74-V74)*100,"pending")</f>
        <v>pending</v>
      </c>
    </row>
    <row r="75" customFormat="false" ht="21.75" hidden="false" customHeight="true" outlineLevel="0" collapsed="false">
      <c r="A75" s="5" t="s">
        <v>296</v>
      </c>
      <c r="B75" s="7" t="n">
        <v>71</v>
      </c>
      <c r="C75" s="5" t="s">
        <v>292</v>
      </c>
      <c r="D75" s="5" t="s">
        <v>234</v>
      </c>
      <c r="E75" s="5" t="s">
        <v>194</v>
      </c>
      <c r="F75" s="7" t="n">
        <v>3</v>
      </c>
      <c r="G75" s="5" t="s">
        <v>239</v>
      </c>
      <c r="H75" s="5" t="s">
        <v>235</v>
      </c>
      <c r="I75" s="6" t="n">
        <v>13</v>
      </c>
      <c r="J75" s="6" t="n">
        <v>6</v>
      </c>
      <c r="K75" s="6" t="n">
        <v>1998</v>
      </c>
      <c r="L75" s="6" t="n">
        <v>1976</v>
      </c>
      <c r="M75" s="6" t="n">
        <v>0</v>
      </c>
      <c r="N75" s="6" t="n">
        <v>0</v>
      </c>
      <c r="O75" s="14" t="n">
        <v>0.382765174436237</v>
      </c>
      <c r="P75" s="14" t="n">
        <v>0.28</v>
      </c>
      <c r="Q75" s="14" t="n">
        <v>0.337234825563763</v>
      </c>
      <c r="R75" s="15" t="n">
        <v>1.3027362529622</v>
      </c>
      <c r="S75" s="15" t="n">
        <v>1.1972637470378</v>
      </c>
      <c r="T75" s="16" t="s">
        <v>142</v>
      </c>
      <c r="U75" s="11" t="n">
        <v>38</v>
      </c>
      <c r="V75" s="17"/>
      <c r="W75" s="17"/>
      <c r="X75" s="17"/>
      <c r="Y75" s="18" t="str">
        <f aca="false">IF(ISNUMBER(V75),(O75-V75)*100,"pending")</f>
        <v>pending</v>
      </c>
    </row>
    <row r="76" customFormat="false" ht="21.75" hidden="false" customHeight="true" outlineLevel="0" collapsed="false">
      <c r="A76" s="5" t="s">
        <v>297</v>
      </c>
      <c r="B76" s="7" t="n">
        <v>72</v>
      </c>
      <c r="C76" s="5" t="s">
        <v>292</v>
      </c>
      <c r="D76" s="5" t="s">
        <v>234</v>
      </c>
      <c r="E76" s="5" t="s">
        <v>198</v>
      </c>
      <c r="F76" s="7" t="n">
        <v>320</v>
      </c>
      <c r="G76" s="5" t="s">
        <v>236</v>
      </c>
      <c r="H76" s="5" t="s">
        <v>238</v>
      </c>
      <c r="I76" s="6" t="n">
        <v>56</v>
      </c>
      <c r="J76" s="6" t="n">
        <v>50</v>
      </c>
      <c r="K76" s="6" t="n">
        <v>1639</v>
      </c>
      <c r="L76" s="6" t="n">
        <v>1735</v>
      </c>
      <c r="M76" s="6" t="n">
        <v>0</v>
      </c>
      <c r="N76" s="6" t="n">
        <v>0</v>
      </c>
      <c r="O76" s="14" t="n">
        <v>0.273942498710762</v>
      </c>
      <c r="P76" s="14" t="n">
        <v>0.25</v>
      </c>
      <c r="Q76" s="14" t="n">
        <v>0.476057501289238</v>
      </c>
      <c r="R76" s="15" t="n">
        <v>1.02231100921264</v>
      </c>
      <c r="S76" s="15" t="n">
        <v>1.47768899078736</v>
      </c>
      <c r="T76" s="16" t="s">
        <v>142</v>
      </c>
      <c r="U76" s="11" t="n">
        <v>38</v>
      </c>
      <c r="V76" s="17"/>
      <c r="W76" s="17"/>
      <c r="X76" s="17"/>
      <c r="Y76" s="18" t="str">
        <f aca="false">IF(ISNUMBER(V76),(O76-V76)*100,"pending")</f>
        <v>pending</v>
      </c>
    </row>
  </sheetData>
  <mergeCells count="2">
    <mergeCell ref="A1:Z1"/>
    <mergeCell ref="A2:Z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38"/>
    <col collapsed="false" customWidth="true" hidden="false" outlineLevel="0" max="4" min="4" style="0" width="48"/>
    <col collapsed="false" customWidth="true" hidden="false" outlineLevel="0" max="5" min="5" style="0" width="42"/>
    <col collapsed="false" customWidth="true" hidden="false" outlineLevel="0" max="6" min="6" style="0" width="30"/>
    <col collapsed="false" customWidth="true" hidden="false" outlineLevel="0" max="7" min="7" style="0" width="60"/>
  </cols>
  <sheetData>
    <row r="1" customFormat="false" ht="17.35" hidden="false" customHeight="false" outlineLevel="0" collapsed="false">
      <c r="A1" s="1" t="s">
        <v>298</v>
      </c>
      <c r="B1" s="1"/>
      <c r="C1" s="1"/>
      <c r="D1" s="1"/>
      <c r="E1" s="1"/>
      <c r="F1" s="1"/>
      <c r="G1" s="1"/>
    </row>
    <row r="2" customFormat="false" ht="31.5" hidden="false" customHeight="true" outlineLevel="0" collapsed="false">
      <c r="A2" s="2" t="s">
        <v>299</v>
      </c>
      <c r="B2" s="2"/>
      <c r="C2" s="2"/>
      <c r="D2" s="2"/>
      <c r="E2" s="2"/>
      <c r="F2" s="2"/>
      <c r="G2" s="2"/>
    </row>
    <row r="4" customFormat="false" ht="27.75" hidden="false" customHeight="true" outlineLevel="0" collapsed="false">
      <c r="A4" s="3" t="s">
        <v>9</v>
      </c>
      <c r="B4" s="3" t="s">
        <v>300</v>
      </c>
      <c r="C4" s="3" t="s">
        <v>301</v>
      </c>
      <c r="D4" s="3" t="s">
        <v>89</v>
      </c>
      <c r="E4" s="3" t="s">
        <v>302</v>
      </c>
      <c r="F4" s="3" t="s">
        <v>303</v>
      </c>
      <c r="G4" s="3" t="s">
        <v>304</v>
      </c>
    </row>
    <row r="5" customFormat="false" ht="165" hidden="false" customHeight="true" outlineLevel="0" collapsed="false">
      <c r="A5" s="19" t="s">
        <v>131</v>
      </c>
      <c r="B5" s="20" t="s">
        <v>305</v>
      </c>
      <c r="C5" s="19" t="s">
        <v>306</v>
      </c>
      <c r="D5" s="5" t="s">
        <v>307</v>
      </c>
      <c r="E5" s="5" t="s">
        <v>308</v>
      </c>
      <c r="F5" s="5" t="s">
        <v>309</v>
      </c>
      <c r="G5" s="5" t="s">
        <v>310</v>
      </c>
    </row>
    <row r="6" customFormat="false" ht="165" hidden="false" customHeight="true" outlineLevel="0" collapsed="false">
      <c r="A6" s="19" t="s">
        <v>138</v>
      </c>
      <c r="B6" s="20" t="s">
        <v>311</v>
      </c>
      <c r="C6" s="19" t="s">
        <v>312</v>
      </c>
      <c r="D6" s="5" t="s">
        <v>313</v>
      </c>
      <c r="E6" s="5" t="s">
        <v>314</v>
      </c>
      <c r="F6" s="5" t="s">
        <v>315</v>
      </c>
      <c r="G6" s="5" t="s">
        <v>316</v>
      </c>
    </row>
    <row r="7" customFormat="false" ht="165" hidden="false" customHeight="true" outlineLevel="0" collapsed="false">
      <c r="A7" s="19" t="s">
        <v>143</v>
      </c>
      <c r="B7" s="20" t="s">
        <v>317</v>
      </c>
      <c r="C7" s="19" t="s">
        <v>318</v>
      </c>
      <c r="D7" s="5" t="s">
        <v>319</v>
      </c>
      <c r="E7" s="5" t="s">
        <v>320</v>
      </c>
      <c r="F7" s="5" t="s">
        <v>321</v>
      </c>
      <c r="G7" s="5" t="s">
        <v>322</v>
      </c>
    </row>
    <row r="8" customFormat="false" ht="165" hidden="false" customHeight="true" outlineLevel="0" collapsed="false">
      <c r="A8" s="19" t="s">
        <v>149</v>
      </c>
      <c r="B8" s="20" t="s">
        <v>323</v>
      </c>
      <c r="C8" s="19" t="s">
        <v>324</v>
      </c>
      <c r="D8" s="5" t="s">
        <v>325</v>
      </c>
      <c r="E8" s="5" t="s">
        <v>326</v>
      </c>
      <c r="F8" s="5" t="s">
        <v>327</v>
      </c>
      <c r="G8" s="5" t="s">
        <v>328</v>
      </c>
    </row>
    <row r="9" customFormat="false" ht="165" hidden="false" customHeight="true" outlineLevel="0" collapsed="false">
      <c r="A9" s="19" t="s">
        <v>154</v>
      </c>
      <c r="B9" s="20" t="s">
        <v>329</v>
      </c>
      <c r="C9" s="19" t="s">
        <v>330</v>
      </c>
      <c r="D9" s="5" t="s">
        <v>331</v>
      </c>
      <c r="E9" s="5" t="s">
        <v>332</v>
      </c>
      <c r="F9" s="5" t="s">
        <v>333</v>
      </c>
      <c r="G9" s="5" t="s">
        <v>334</v>
      </c>
    </row>
    <row r="10" customFormat="false" ht="165" hidden="false" customHeight="true" outlineLevel="0" collapsed="false">
      <c r="A10" s="19" t="s">
        <v>160</v>
      </c>
      <c r="B10" s="20" t="s">
        <v>335</v>
      </c>
      <c r="C10" s="19" t="s">
        <v>336</v>
      </c>
      <c r="D10" s="5" t="s">
        <v>337</v>
      </c>
      <c r="E10" s="5" t="s">
        <v>338</v>
      </c>
      <c r="F10" s="5" t="s">
        <v>339</v>
      </c>
      <c r="G10" s="5" t="s">
        <v>340</v>
      </c>
    </row>
    <row r="11" customFormat="false" ht="165" hidden="false" customHeight="true" outlineLevel="0" collapsed="false">
      <c r="A11" s="19" t="s">
        <v>164</v>
      </c>
      <c r="B11" s="20" t="s">
        <v>341</v>
      </c>
      <c r="C11" s="19" t="s">
        <v>342</v>
      </c>
      <c r="D11" s="5" t="s">
        <v>343</v>
      </c>
      <c r="E11" s="5" t="s">
        <v>344</v>
      </c>
      <c r="F11" s="5" t="s">
        <v>345</v>
      </c>
      <c r="G11" s="5" t="s">
        <v>346</v>
      </c>
    </row>
    <row r="12" customFormat="false" ht="165" hidden="false" customHeight="true" outlineLevel="0" collapsed="false">
      <c r="A12" s="19" t="s">
        <v>168</v>
      </c>
      <c r="B12" s="20" t="s">
        <v>347</v>
      </c>
      <c r="C12" s="19" t="s">
        <v>348</v>
      </c>
      <c r="D12" s="5" t="s">
        <v>349</v>
      </c>
      <c r="E12" s="5" t="s">
        <v>350</v>
      </c>
      <c r="F12" s="5" t="s">
        <v>351</v>
      </c>
      <c r="G12" s="5" t="s">
        <v>352</v>
      </c>
    </row>
    <row r="13" customFormat="false" ht="165" hidden="false" customHeight="true" outlineLevel="0" collapsed="false">
      <c r="A13" s="19" t="s">
        <v>172</v>
      </c>
      <c r="B13" s="20" t="s">
        <v>353</v>
      </c>
      <c r="C13" s="19" t="s">
        <v>354</v>
      </c>
      <c r="D13" s="5" t="s">
        <v>355</v>
      </c>
      <c r="E13" s="5" t="s">
        <v>356</v>
      </c>
      <c r="F13" s="5" t="s">
        <v>357</v>
      </c>
      <c r="G13" s="5" t="s">
        <v>358</v>
      </c>
    </row>
    <row r="14" customFormat="false" ht="165" hidden="false" customHeight="true" outlineLevel="0" collapsed="false">
      <c r="A14" s="19" t="s">
        <v>178</v>
      </c>
      <c r="B14" s="20" t="s">
        <v>359</v>
      </c>
      <c r="C14" s="19" t="s">
        <v>360</v>
      </c>
      <c r="D14" s="5" t="s">
        <v>361</v>
      </c>
      <c r="E14" s="5" t="s">
        <v>362</v>
      </c>
      <c r="F14" s="5" t="s">
        <v>363</v>
      </c>
      <c r="G14" s="5" t="s">
        <v>364</v>
      </c>
    </row>
    <row r="15" customFormat="false" ht="109.5" hidden="false" customHeight="true" outlineLevel="0" collapsed="false">
      <c r="A15" s="19" t="s">
        <v>182</v>
      </c>
      <c r="B15" s="20" t="s">
        <v>365</v>
      </c>
      <c r="C15" s="19" t="s">
        <v>366</v>
      </c>
      <c r="D15" s="5" t="s">
        <v>367</v>
      </c>
      <c r="E15" s="5" t="s">
        <v>368</v>
      </c>
      <c r="F15" s="5" t="s">
        <v>369</v>
      </c>
      <c r="G15" s="5" t="s">
        <v>370</v>
      </c>
    </row>
    <row r="16" customFormat="false" ht="109.5" hidden="false" customHeight="true" outlineLevel="0" collapsed="false">
      <c r="A16" s="19" t="s">
        <v>187</v>
      </c>
      <c r="B16" s="20" t="s">
        <v>371</v>
      </c>
      <c r="C16" s="19" t="s">
        <v>372</v>
      </c>
      <c r="D16" s="5" t="s">
        <v>373</v>
      </c>
      <c r="E16" s="5" t="s">
        <v>374</v>
      </c>
      <c r="F16" s="5" t="s">
        <v>369</v>
      </c>
      <c r="G16" s="5" t="s">
        <v>375</v>
      </c>
    </row>
    <row r="17" customFormat="false" ht="109.5" hidden="false" customHeight="true" outlineLevel="0" collapsed="false">
      <c r="A17" s="19" t="s">
        <v>191</v>
      </c>
      <c r="B17" s="20" t="s">
        <v>376</v>
      </c>
      <c r="C17" s="19" t="s">
        <v>377</v>
      </c>
      <c r="D17" s="5" t="s">
        <v>378</v>
      </c>
      <c r="E17" s="5" t="s">
        <v>379</v>
      </c>
      <c r="F17" s="5" t="s">
        <v>369</v>
      </c>
      <c r="G17" s="5" t="s">
        <v>380</v>
      </c>
    </row>
    <row r="18" customFormat="false" ht="109.5" hidden="false" customHeight="true" outlineLevel="0" collapsed="false">
      <c r="A18" s="19" t="s">
        <v>197</v>
      </c>
      <c r="B18" s="20" t="s">
        <v>381</v>
      </c>
      <c r="C18" s="19" t="s">
        <v>382</v>
      </c>
      <c r="D18" s="5" t="s">
        <v>383</v>
      </c>
      <c r="E18" s="5" t="s">
        <v>384</v>
      </c>
      <c r="F18" s="5" t="s">
        <v>369</v>
      </c>
      <c r="G18" s="5" t="s">
        <v>385</v>
      </c>
    </row>
    <row r="19" customFormat="false" ht="109.5" hidden="false" customHeight="true" outlineLevel="0" collapsed="false">
      <c r="A19" s="19" t="s">
        <v>201</v>
      </c>
      <c r="B19" s="20" t="s">
        <v>386</v>
      </c>
      <c r="C19" s="19" t="s">
        <v>387</v>
      </c>
      <c r="D19" s="5" t="s">
        <v>388</v>
      </c>
      <c r="E19" s="5" t="s">
        <v>389</v>
      </c>
      <c r="F19" s="5" t="s">
        <v>369</v>
      </c>
      <c r="G19" s="5" t="s">
        <v>390</v>
      </c>
    </row>
    <row r="20" customFormat="false" ht="109.5" hidden="false" customHeight="true" outlineLevel="0" collapsed="false">
      <c r="A20" s="19" t="s">
        <v>205</v>
      </c>
      <c r="B20" s="20" t="s">
        <v>391</v>
      </c>
      <c r="C20" s="19" t="s">
        <v>392</v>
      </c>
      <c r="D20" s="5" t="s">
        <v>393</v>
      </c>
      <c r="E20" s="5" t="s">
        <v>394</v>
      </c>
      <c r="F20" s="5" t="s">
        <v>369</v>
      </c>
      <c r="G20" s="5" t="s">
        <v>395</v>
      </c>
    </row>
    <row r="21" customFormat="false" ht="109.5" hidden="false" customHeight="true" outlineLevel="0" collapsed="false">
      <c r="A21" s="19" t="s">
        <v>209</v>
      </c>
      <c r="B21" s="20" t="s">
        <v>396</v>
      </c>
      <c r="C21" s="19" t="s">
        <v>397</v>
      </c>
      <c r="D21" s="5" t="s">
        <v>398</v>
      </c>
      <c r="E21" s="5" t="s">
        <v>399</v>
      </c>
      <c r="F21" s="5" t="s">
        <v>369</v>
      </c>
      <c r="G21" s="5" t="s">
        <v>400</v>
      </c>
    </row>
    <row r="22" customFormat="false" ht="109.5" hidden="false" customHeight="true" outlineLevel="0" collapsed="false">
      <c r="A22" s="19" t="s">
        <v>214</v>
      </c>
      <c r="B22" s="20" t="s">
        <v>401</v>
      </c>
      <c r="C22" s="19" t="s">
        <v>402</v>
      </c>
      <c r="D22" s="5" t="s">
        <v>403</v>
      </c>
      <c r="E22" s="5" t="s">
        <v>404</v>
      </c>
      <c r="F22" s="5" t="s">
        <v>369</v>
      </c>
      <c r="G22" s="5" t="s">
        <v>405</v>
      </c>
    </row>
    <row r="23" customFormat="false" ht="109.5" hidden="false" customHeight="true" outlineLevel="0" collapsed="false">
      <c r="A23" s="19" t="s">
        <v>217</v>
      </c>
      <c r="B23" s="20" t="s">
        <v>406</v>
      </c>
      <c r="C23" s="19" t="s">
        <v>407</v>
      </c>
      <c r="D23" s="5" t="s">
        <v>408</v>
      </c>
      <c r="E23" s="5" t="s">
        <v>409</v>
      </c>
      <c r="F23" s="5" t="s">
        <v>369</v>
      </c>
      <c r="G23" s="5" t="s">
        <v>410</v>
      </c>
    </row>
    <row r="24" customFormat="false" ht="109.5" hidden="false" customHeight="true" outlineLevel="0" collapsed="false">
      <c r="A24" s="19" t="s">
        <v>222</v>
      </c>
      <c r="B24" s="20" t="s">
        <v>411</v>
      </c>
      <c r="C24" s="19" t="s">
        <v>412</v>
      </c>
      <c r="D24" s="5" t="s">
        <v>413</v>
      </c>
      <c r="E24" s="5" t="s">
        <v>414</v>
      </c>
      <c r="F24" s="5" t="s">
        <v>369</v>
      </c>
      <c r="G24" s="5" t="s">
        <v>415</v>
      </c>
    </row>
    <row r="25" customFormat="false" ht="109.5" hidden="false" customHeight="true" outlineLevel="0" collapsed="false">
      <c r="A25" s="19" t="s">
        <v>225</v>
      </c>
      <c r="B25" s="20" t="s">
        <v>416</v>
      </c>
      <c r="C25" s="19" t="s">
        <v>417</v>
      </c>
      <c r="D25" s="5" t="s">
        <v>418</v>
      </c>
      <c r="E25" s="5" t="s">
        <v>419</v>
      </c>
      <c r="F25" s="5" t="s">
        <v>369</v>
      </c>
      <c r="G25" s="5" t="s">
        <v>420</v>
      </c>
    </row>
    <row r="26" customFormat="false" ht="109.5" hidden="false" customHeight="true" outlineLevel="0" collapsed="false">
      <c r="A26" s="19" t="s">
        <v>230</v>
      </c>
      <c r="B26" s="20" t="s">
        <v>421</v>
      </c>
      <c r="C26" s="19" t="s">
        <v>422</v>
      </c>
      <c r="D26" s="5" t="s">
        <v>423</v>
      </c>
      <c r="E26" s="5" t="s">
        <v>424</v>
      </c>
      <c r="F26" s="5" t="s">
        <v>369</v>
      </c>
      <c r="G26" s="5" t="s">
        <v>425</v>
      </c>
    </row>
    <row r="27" customFormat="false" ht="109.5" hidden="false" customHeight="true" outlineLevel="0" collapsed="false">
      <c r="A27" s="19" t="s">
        <v>233</v>
      </c>
      <c r="B27" s="20" t="s">
        <v>426</v>
      </c>
      <c r="C27" s="19" t="s">
        <v>427</v>
      </c>
      <c r="D27" s="5" t="s">
        <v>428</v>
      </c>
      <c r="E27" s="5" t="s">
        <v>429</v>
      </c>
      <c r="F27" s="5" t="s">
        <v>369</v>
      </c>
      <c r="G27" s="5" t="s">
        <v>430</v>
      </c>
    </row>
    <row r="28" customFormat="false" ht="109.5" hidden="false" customHeight="true" outlineLevel="0" collapsed="false">
      <c r="A28" s="19" t="s">
        <v>237</v>
      </c>
      <c r="B28" s="20" t="s">
        <v>431</v>
      </c>
      <c r="C28" s="19" t="s">
        <v>432</v>
      </c>
      <c r="D28" s="5" t="s">
        <v>433</v>
      </c>
      <c r="E28" s="5" t="s">
        <v>434</v>
      </c>
      <c r="F28" s="5" t="s">
        <v>369</v>
      </c>
      <c r="G28" s="5" t="s">
        <v>435</v>
      </c>
    </row>
    <row r="29" customFormat="false" ht="109.5" hidden="false" customHeight="true" outlineLevel="0" collapsed="false">
      <c r="A29" s="19" t="s">
        <v>240</v>
      </c>
      <c r="B29" s="20" t="s">
        <v>436</v>
      </c>
      <c r="C29" s="19" t="s">
        <v>437</v>
      </c>
      <c r="D29" s="5" t="s">
        <v>438</v>
      </c>
      <c r="E29" s="5" t="s">
        <v>439</v>
      </c>
      <c r="F29" s="5" t="s">
        <v>369</v>
      </c>
      <c r="G29" s="5" t="s">
        <v>440</v>
      </c>
    </row>
    <row r="30" customFormat="false" ht="109.5" hidden="false" customHeight="true" outlineLevel="0" collapsed="false">
      <c r="A30" s="19" t="s">
        <v>242</v>
      </c>
      <c r="B30" s="20" t="s">
        <v>441</v>
      </c>
      <c r="C30" s="19" t="s">
        <v>442</v>
      </c>
      <c r="D30" s="5" t="s">
        <v>443</v>
      </c>
      <c r="E30" s="5" t="s">
        <v>444</v>
      </c>
      <c r="F30" s="5" t="s">
        <v>369</v>
      </c>
      <c r="G30" s="5" t="s">
        <v>445</v>
      </c>
    </row>
    <row r="31" customFormat="false" ht="109.5" hidden="false" customHeight="true" outlineLevel="0" collapsed="false">
      <c r="A31" s="19" t="s">
        <v>243</v>
      </c>
      <c r="B31" s="20" t="s">
        <v>446</v>
      </c>
      <c r="C31" s="19" t="s">
        <v>447</v>
      </c>
      <c r="D31" s="5" t="s">
        <v>448</v>
      </c>
      <c r="E31" s="5" t="s">
        <v>449</v>
      </c>
      <c r="F31" s="5" t="s">
        <v>369</v>
      </c>
      <c r="G31" s="5" t="s">
        <v>450</v>
      </c>
    </row>
    <row r="32" customFormat="false" ht="109.5" hidden="false" customHeight="true" outlineLevel="0" collapsed="false">
      <c r="A32" s="19" t="s">
        <v>244</v>
      </c>
      <c r="B32" s="20" t="s">
        <v>451</v>
      </c>
      <c r="C32" s="19" t="s">
        <v>452</v>
      </c>
      <c r="D32" s="5" t="s">
        <v>453</v>
      </c>
      <c r="E32" s="5" t="s">
        <v>454</v>
      </c>
      <c r="F32" s="5" t="s">
        <v>369</v>
      </c>
      <c r="G32" s="5" t="s">
        <v>455</v>
      </c>
    </row>
    <row r="33" customFormat="false" ht="109.5" hidden="false" customHeight="true" outlineLevel="0" collapsed="false">
      <c r="A33" s="19" t="s">
        <v>245</v>
      </c>
      <c r="B33" s="20" t="s">
        <v>456</v>
      </c>
      <c r="C33" s="19" t="s">
        <v>457</v>
      </c>
      <c r="D33" s="5" t="s">
        <v>458</v>
      </c>
      <c r="E33" s="5" t="s">
        <v>459</v>
      </c>
      <c r="F33" s="5" t="s">
        <v>369</v>
      </c>
      <c r="G33" s="5" t="s">
        <v>460</v>
      </c>
    </row>
    <row r="34" customFormat="false" ht="109.5" hidden="false" customHeight="true" outlineLevel="0" collapsed="false">
      <c r="A34" s="19" t="s">
        <v>247</v>
      </c>
      <c r="B34" s="20" t="s">
        <v>461</v>
      </c>
      <c r="C34" s="19" t="s">
        <v>462</v>
      </c>
      <c r="D34" s="5" t="s">
        <v>463</v>
      </c>
      <c r="E34" s="5" t="s">
        <v>464</v>
      </c>
      <c r="F34" s="5" t="s">
        <v>369</v>
      </c>
      <c r="G34" s="5" t="s">
        <v>465</v>
      </c>
    </row>
    <row r="35" customFormat="false" ht="109.5" hidden="false" customHeight="true" outlineLevel="0" collapsed="false">
      <c r="A35" s="19" t="s">
        <v>248</v>
      </c>
      <c r="B35" s="20" t="s">
        <v>466</v>
      </c>
      <c r="C35" s="19" t="s">
        <v>467</v>
      </c>
      <c r="D35" s="5" t="s">
        <v>468</v>
      </c>
      <c r="E35" s="5" t="s">
        <v>469</v>
      </c>
      <c r="F35" s="5" t="s">
        <v>369</v>
      </c>
      <c r="G35" s="5" t="s">
        <v>470</v>
      </c>
    </row>
    <row r="36" customFormat="false" ht="109.5" hidden="false" customHeight="true" outlineLevel="0" collapsed="false">
      <c r="A36" s="19" t="s">
        <v>249</v>
      </c>
      <c r="B36" s="20" t="s">
        <v>471</v>
      </c>
      <c r="C36" s="19" t="s">
        <v>472</v>
      </c>
      <c r="D36" s="5" t="s">
        <v>473</v>
      </c>
      <c r="E36" s="5" t="s">
        <v>474</v>
      </c>
      <c r="F36" s="5" t="s">
        <v>369</v>
      </c>
      <c r="G36" s="5" t="s">
        <v>475</v>
      </c>
    </row>
    <row r="37" customFormat="false" ht="109.5" hidden="false" customHeight="true" outlineLevel="0" collapsed="false">
      <c r="A37" s="19" t="s">
        <v>250</v>
      </c>
      <c r="B37" s="20" t="s">
        <v>476</v>
      </c>
      <c r="C37" s="19" t="s">
        <v>477</v>
      </c>
      <c r="D37" s="5" t="s">
        <v>478</v>
      </c>
      <c r="E37" s="5" t="s">
        <v>479</v>
      </c>
      <c r="F37" s="5" t="s">
        <v>369</v>
      </c>
      <c r="G37" s="5" t="s">
        <v>480</v>
      </c>
    </row>
    <row r="38" customFormat="false" ht="109.5" hidden="false" customHeight="true" outlineLevel="0" collapsed="false">
      <c r="A38" s="19" t="s">
        <v>252</v>
      </c>
      <c r="B38" s="20" t="s">
        <v>481</v>
      </c>
      <c r="C38" s="19" t="s">
        <v>482</v>
      </c>
      <c r="D38" s="5" t="s">
        <v>483</v>
      </c>
      <c r="E38" s="5" t="s">
        <v>484</v>
      </c>
      <c r="F38" s="5" t="s">
        <v>369</v>
      </c>
      <c r="G38" s="5" t="s">
        <v>485</v>
      </c>
    </row>
    <row r="39" customFormat="false" ht="109.5" hidden="false" customHeight="true" outlineLevel="0" collapsed="false">
      <c r="A39" s="19" t="s">
        <v>253</v>
      </c>
      <c r="B39" s="20" t="s">
        <v>486</v>
      </c>
      <c r="C39" s="19" t="s">
        <v>487</v>
      </c>
      <c r="D39" s="5" t="s">
        <v>488</v>
      </c>
      <c r="E39" s="5" t="s">
        <v>489</v>
      </c>
      <c r="F39" s="5" t="s">
        <v>369</v>
      </c>
      <c r="G39" s="5" t="s">
        <v>490</v>
      </c>
    </row>
    <row r="40" customFormat="false" ht="109.5" hidden="false" customHeight="true" outlineLevel="0" collapsed="false">
      <c r="A40" s="19" t="s">
        <v>254</v>
      </c>
      <c r="B40" s="20" t="s">
        <v>491</v>
      </c>
      <c r="C40" s="19" t="s">
        <v>492</v>
      </c>
      <c r="D40" s="5" t="s">
        <v>493</v>
      </c>
      <c r="E40" s="5" t="s">
        <v>494</v>
      </c>
      <c r="F40" s="5" t="s">
        <v>369</v>
      </c>
      <c r="G40" s="5" t="s">
        <v>495</v>
      </c>
    </row>
    <row r="41" customFormat="false" ht="109.5" hidden="false" customHeight="true" outlineLevel="0" collapsed="false">
      <c r="A41" s="19" t="s">
        <v>255</v>
      </c>
      <c r="B41" s="20" t="s">
        <v>496</v>
      </c>
      <c r="C41" s="19" t="s">
        <v>497</v>
      </c>
      <c r="D41" s="5" t="s">
        <v>498</v>
      </c>
      <c r="E41" s="5" t="s">
        <v>499</v>
      </c>
      <c r="F41" s="5" t="s">
        <v>369</v>
      </c>
      <c r="G41" s="5" t="s">
        <v>500</v>
      </c>
    </row>
    <row r="42" customFormat="false" ht="109.5" hidden="false" customHeight="true" outlineLevel="0" collapsed="false">
      <c r="A42" s="19" t="s">
        <v>257</v>
      </c>
      <c r="B42" s="20" t="s">
        <v>501</v>
      </c>
      <c r="C42" s="19" t="s">
        <v>502</v>
      </c>
      <c r="D42" s="5" t="s">
        <v>503</v>
      </c>
      <c r="E42" s="5" t="s">
        <v>504</v>
      </c>
      <c r="F42" s="5" t="s">
        <v>369</v>
      </c>
      <c r="G42" s="5" t="s">
        <v>505</v>
      </c>
    </row>
    <row r="43" customFormat="false" ht="109.5" hidden="false" customHeight="true" outlineLevel="0" collapsed="false">
      <c r="A43" s="19" t="s">
        <v>258</v>
      </c>
      <c r="B43" s="20" t="s">
        <v>506</v>
      </c>
      <c r="C43" s="19" t="s">
        <v>507</v>
      </c>
      <c r="D43" s="5" t="s">
        <v>508</v>
      </c>
      <c r="E43" s="5" t="s">
        <v>509</v>
      </c>
      <c r="F43" s="5" t="s">
        <v>369</v>
      </c>
      <c r="G43" s="5" t="s">
        <v>510</v>
      </c>
    </row>
    <row r="44" customFormat="false" ht="109.5" hidden="false" customHeight="true" outlineLevel="0" collapsed="false">
      <c r="A44" s="19" t="s">
        <v>259</v>
      </c>
      <c r="B44" s="20" t="s">
        <v>511</v>
      </c>
      <c r="C44" s="19" t="s">
        <v>512</v>
      </c>
      <c r="D44" s="5" t="s">
        <v>513</v>
      </c>
      <c r="E44" s="5" t="s">
        <v>514</v>
      </c>
      <c r="F44" s="5" t="s">
        <v>369</v>
      </c>
      <c r="G44" s="5" t="s">
        <v>515</v>
      </c>
    </row>
    <row r="45" customFormat="false" ht="109.5" hidden="false" customHeight="true" outlineLevel="0" collapsed="false">
      <c r="A45" s="19" t="s">
        <v>260</v>
      </c>
      <c r="B45" s="20" t="s">
        <v>516</v>
      </c>
      <c r="C45" s="19" t="s">
        <v>517</v>
      </c>
      <c r="D45" s="5" t="s">
        <v>518</v>
      </c>
      <c r="E45" s="5" t="s">
        <v>519</v>
      </c>
      <c r="F45" s="5" t="s">
        <v>369</v>
      </c>
      <c r="G45" s="5" t="s">
        <v>520</v>
      </c>
    </row>
    <row r="46" customFormat="false" ht="109.5" hidden="false" customHeight="true" outlineLevel="0" collapsed="false">
      <c r="A46" s="19" t="s">
        <v>262</v>
      </c>
      <c r="B46" s="20" t="s">
        <v>521</v>
      </c>
      <c r="C46" s="19" t="s">
        <v>522</v>
      </c>
      <c r="D46" s="5" t="s">
        <v>523</v>
      </c>
      <c r="E46" s="5" t="s">
        <v>524</v>
      </c>
      <c r="F46" s="5" t="s">
        <v>369</v>
      </c>
      <c r="G46" s="5" t="s">
        <v>525</v>
      </c>
    </row>
    <row r="47" customFormat="false" ht="109.5" hidden="false" customHeight="true" outlineLevel="0" collapsed="false">
      <c r="A47" s="19" t="s">
        <v>263</v>
      </c>
      <c r="B47" s="20" t="s">
        <v>526</v>
      </c>
      <c r="C47" s="19" t="s">
        <v>527</v>
      </c>
      <c r="D47" s="5" t="s">
        <v>528</v>
      </c>
      <c r="E47" s="5" t="s">
        <v>529</v>
      </c>
      <c r="F47" s="5" t="s">
        <v>369</v>
      </c>
      <c r="G47" s="5" t="s">
        <v>530</v>
      </c>
    </row>
    <row r="48" customFormat="false" ht="109.5" hidden="false" customHeight="true" outlineLevel="0" collapsed="false">
      <c r="A48" s="19" t="s">
        <v>264</v>
      </c>
      <c r="B48" s="20" t="s">
        <v>531</v>
      </c>
      <c r="C48" s="19" t="s">
        <v>532</v>
      </c>
      <c r="D48" s="5" t="s">
        <v>533</v>
      </c>
      <c r="E48" s="5" t="s">
        <v>534</v>
      </c>
      <c r="F48" s="5" t="s">
        <v>369</v>
      </c>
      <c r="G48" s="5" t="s">
        <v>535</v>
      </c>
    </row>
    <row r="49" customFormat="false" ht="109.5" hidden="false" customHeight="true" outlineLevel="0" collapsed="false">
      <c r="A49" s="19" t="s">
        <v>265</v>
      </c>
      <c r="B49" s="20" t="s">
        <v>536</v>
      </c>
      <c r="C49" s="19" t="s">
        <v>537</v>
      </c>
      <c r="D49" s="5" t="s">
        <v>538</v>
      </c>
      <c r="E49" s="5" t="s">
        <v>539</v>
      </c>
      <c r="F49" s="5" t="s">
        <v>369</v>
      </c>
      <c r="G49" s="5" t="s">
        <v>540</v>
      </c>
    </row>
    <row r="50" customFormat="false" ht="109.5" hidden="false" customHeight="true" outlineLevel="0" collapsed="false">
      <c r="A50" s="19" t="s">
        <v>267</v>
      </c>
      <c r="B50" s="20" t="s">
        <v>541</v>
      </c>
      <c r="C50" s="19" t="s">
        <v>542</v>
      </c>
      <c r="D50" s="5" t="s">
        <v>543</v>
      </c>
      <c r="E50" s="5" t="s">
        <v>544</v>
      </c>
      <c r="F50" s="5" t="s">
        <v>369</v>
      </c>
      <c r="G50" s="5" t="s">
        <v>545</v>
      </c>
    </row>
    <row r="51" customFormat="false" ht="109.5" hidden="false" customHeight="true" outlineLevel="0" collapsed="false">
      <c r="A51" s="19" t="s">
        <v>268</v>
      </c>
      <c r="B51" s="20" t="s">
        <v>546</v>
      </c>
      <c r="C51" s="19" t="s">
        <v>547</v>
      </c>
      <c r="D51" s="5" t="s">
        <v>548</v>
      </c>
      <c r="E51" s="5" t="s">
        <v>549</v>
      </c>
      <c r="F51" s="5" t="s">
        <v>369</v>
      </c>
      <c r="G51" s="5" t="s">
        <v>550</v>
      </c>
    </row>
    <row r="52" customFormat="false" ht="109.5" hidden="false" customHeight="true" outlineLevel="0" collapsed="false">
      <c r="A52" s="19" t="s">
        <v>269</v>
      </c>
      <c r="B52" s="20" t="s">
        <v>551</v>
      </c>
      <c r="C52" s="19" t="s">
        <v>552</v>
      </c>
      <c r="D52" s="5" t="s">
        <v>553</v>
      </c>
      <c r="E52" s="5" t="s">
        <v>554</v>
      </c>
      <c r="F52" s="5" t="s">
        <v>369</v>
      </c>
      <c r="G52" s="5" t="s">
        <v>555</v>
      </c>
    </row>
    <row r="53" customFormat="false" ht="109.5" hidden="false" customHeight="true" outlineLevel="0" collapsed="false">
      <c r="A53" s="19" t="s">
        <v>270</v>
      </c>
      <c r="B53" s="20" t="s">
        <v>556</v>
      </c>
      <c r="C53" s="19" t="s">
        <v>557</v>
      </c>
      <c r="D53" s="5" t="s">
        <v>558</v>
      </c>
      <c r="E53" s="5" t="s">
        <v>394</v>
      </c>
      <c r="F53" s="5" t="s">
        <v>369</v>
      </c>
      <c r="G53" s="5" t="s">
        <v>559</v>
      </c>
    </row>
    <row r="54" customFormat="false" ht="109.5" hidden="false" customHeight="true" outlineLevel="0" collapsed="false">
      <c r="A54" s="19" t="s">
        <v>272</v>
      </c>
      <c r="B54" s="20" t="s">
        <v>560</v>
      </c>
      <c r="C54" s="19" t="s">
        <v>561</v>
      </c>
      <c r="D54" s="5" t="s">
        <v>562</v>
      </c>
      <c r="E54" s="5" t="s">
        <v>563</v>
      </c>
      <c r="F54" s="5" t="s">
        <v>369</v>
      </c>
      <c r="G54" s="5" t="s">
        <v>564</v>
      </c>
    </row>
    <row r="55" customFormat="false" ht="109.5" hidden="false" customHeight="true" outlineLevel="0" collapsed="false">
      <c r="A55" s="19" t="s">
        <v>273</v>
      </c>
      <c r="B55" s="20" t="s">
        <v>565</v>
      </c>
      <c r="C55" s="19" t="s">
        <v>566</v>
      </c>
      <c r="D55" s="5" t="s">
        <v>567</v>
      </c>
      <c r="E55" s="5" t="s">
        <v>568</v>
      </c>
      <c r="F55" s="5" t="s">
        <v>369</v>
      </c>
      <c r="G55" s="5" t="s">
        <v>569</v>
      </c>
    </row>
    <row r="56" customFormat="false" ht="109.5" hidden="false" customHeight="true" outlineLevel="0" collapsed="false">
      <c r="A56" s="19" t="s">
        <v>274</v>
      </c>
      <c r="B56" s="20" t="s">
        <v>570</v>
      </c>
      <c r="C56" s="19" t="s">
        <v>571</v>
      </c>
      <c r="D56" s="5" t="s">
        <v>572</v>
      </c>
      <c r="E56" s="5" t="s">
        <v>573</v>
      </c>
      <c r="F56" s="5" t="s">
        <v>369</v>
      </c>
      <c r="G56" s="5" t="s">
        <v>574</v>
      </c>
    </row>
    <row r="57" customFormat="false" ht="109.5" hidden="false" customHeight="true" outlineLevel="0" collapsed="false">
      <c r="A57" s="19" t="s">
        <v>275</v>
      </c>
      <c r="B57" s="20" t="s">
        <v>575</v>
      </c>
      <c r="C57" s="19" t="s">
        <v>576</v>
      </c>
      <c r="D57" s="5" t="s">
        <v>577</v>
      </c>
      <c r="E57" s="5" t="s">
        <v>578</v>
      </c>
      <c r="F57" s="5" t="s">
        <v>369</v>
      </c>
      <c r="G57" s="5" t="s">
        <v>579</v>
      </c>
    </row>
    <row r="58" customFormat="false" ht="109.5" hidden="false" customHeight="true" outlineLevel="0" collapsed="false">
      <c r="A58" s="19" t="s">
        <v>276</v>
      </c>
      <c r="B58" s="20" t="s">
        <v>580</v>
      </c>
      <c r="C58" s="19" t="s">
        <v>581</v>
      </c>
      <c r="D58" s="5" t="s">
        <v>582</v>
      </c>
      <c r="E58" s="5" t="s">
        <v>583</v>
      </c>
      <c r="F58" s="5" t="s">
        <v>369</v>
      </c>
      <c r="G58" s="5" t="s">
        <v>584</v>
      </c>
    </row>
    <row r="59" customFormat="false" ht="109.5" hidden="false" customHeight="true" outlineLevel="0" collapsed="false">
      <c r="A59" s="19" t="s">
        <v>277</v>
      </c>
      <c r="B59" s="20" t="s">
        <v>585</v>
      </c>
      <c r="C59" s="19" t="s">
        <v>586</v>
      </c>
      <c r="D59" s="5" t="s">
        <v>587</v>
      </c>
      <c r="E59" s="5" t="s">
        <v>588</v>
      </c>
      <c r="F59" s="5" t="s">
        <v>369</v>
      </c>
      <c r="G59" s="5" t="s">
        <v>589</v>
      </c>
    </row>
    <row r="60" customFormat="false" ht="109.5" hidden="false" customHeight="true" outlineLevel="0" collapsed="false">
      <c r="A60" s="19" t="s">
        <v>279</v>
      </c>
      <c r="B60" s="20" t="s">
        <v>590</v>
      </c>
      <c r="C60" s="19" t="s">
        <v>591</v>
      </c>
      <c r="D60" s="5" t="s">
        <v>592</v>
      </c>
      <c r="E60" s="5" t="s">
        <v>593</v>
      </c>
      <c r="F60" s="5" t="s">
        <v>369</v>
      </c>
      <c r="G60" s="5" t="s">
        <v>594</v>
      </c>
    </row>
    <row r="61" customFormat="false" ht="109.5" hidden="false" customHeight="true" outlineLevel="0" collapsed="false">
      <c r="A61" s="19" t="s">
        <v>280</v>
      </c>
      <c r="B61" s="20" t="s">
        <v>595</v>
      </c>
      <c r="C61" s="19" t="s">
        <v>596</v>
      </c>
      <c r="D61" s="5" t="s">
        <v>597</v>
      </c>
      <c r="E61" s="5" t="s">
        <v>598</v>
      </c>
      <c r="F61" s="5" t="s">
        <v>369</v>
      </c>
      <c r="G61" s="5" t="s">
        <v>599</v>
      </c>
    </row>
    <row r="62" customFormat="false" ht="109.5" hidden="false" customHeight="true" outlineLevel="0" collapsed="false">
      <c r="A62" s="19" t="s">
        <v>281</v>
      </c>
      <c r="B62" s="20" t="s">
        <v>600</v>
      </c>
      <c r="C62" s="19" t="s">
        <v>601</v>
      </c>
      <c r="D62" s="5" t="s">
        <v>602</v>
      </c>
      <c r="E62" s="5" t="s">
        <v>603</v>
      </c>
      <c r="F62" s="5" t="s">
        <v>369</v>
      </c>
      <c r="G62" s="5" t="s">
        <v>604</v>
      </c>
    </row>
    <row r="63" customFormat="false" ht="109.5" hidden="false" customHeight="true" outlineLevel="0" collapsed="false">
      <c r="A63" s="19" t="s">
        <v>282</v>
      </c>
      <c r="B63" s="20" t="s">
        <v>605</v>
      </c>
      <c r="C63" s="19" t="s">
        <v>606</v>
      </c>
      <c r="D63" s="5" t="s">
        <v>607</v>
      </c>
      <c r="E63" s="5" t="s">
        <v>608</v>
      </c>
      <c r="F63" s="5" t="s">
        <v>369</v>
      </c>
      <c r="G63" s="5" t="s">
        <v>609</v>
      </c>
    </row>
    <row r="64" customFormat="false" ht="109.5" hidden="false" customHeight="true" outlineLevel="0" collapsed="false">
      <c r="A64" s="19" t="s">
        <v>283</v>
      </c>
      <c r="B64" s="20" t="s">
        <v>610</v>
      </c>
      <c r="C64" s="19" t="s">
        <v>611</v>
      </c>
      <c r="D64" s="5" t="s">
        <v>612</v>
      </c>
      <c r="E64" s="5" t="s">
        <v>613</v>
      </c>
      <c r="F64" s="5" t="s">
        <v>369</v>
      </c>
      <c r="G64" s="5" t="s">
        <v>614</v>
      </c>
    </row>
    <row r="65" customFormat="false" ht="109.5" hidden="false" customHeight="true" outlineLevel="0" collapsed="false">
      <c r="A65" s="19" t="s">
        <v>284</v>
      </c>
      <c r="B65" s="20" t="s">
        <v>615</v>
      </c>
      <c r="C65" s="19" t="s">
        <v>616</v>
      </c>
      <c r="D65" s="5" t="s">
        <v>617</v>
      </c>
      <c r="E65" s="5" t="s">
        <v>618</v>
      </c>
      <c r="F65" s="5" t="s">
        <v>369</v>
      </c>
      <c r="G65" s="5" t="s">
        <v>619</v>
      </c>
    </row>
    <row r="66" customFormat="false" ht="109.5" hidden="false" customHeight="true" outlineLevel="0" collapsed="false">
      <c r="A66" s="19" t="s">
        <v>286</v>
      </c>
      <c r="B66" s="20" t="s">
        <v>620</v>
      </c>
      <c r="C66" s="19" t="s">
        <v>621</v>
      </c>
      <c r="D66" s="5" t="s">
        <v>622</v>
      </c>
      <c r="E66" s="5" t="s">
        <v>623</v>
      </c>
      <c r="F66" s="5" t="s">
        <v>369</v>
      </c>
      <c r="G66" s="5" t="s">
        <v>624</v>
      </c>
    </row>
    <row r="67" customFormat="false" ht="109.5" hidden="false" customHeight="true" outlineLevel="0" collapsed="false">
      <c r="A67" s="19" t="s">
        <v>287</v>
      </c>
      <c r="B67" s="20" t="s">
        <v>625</v>
      </c>
      <c r="C67" s="19" t="s">
        <v>626</v>
      </c>
      <c r="D67" s="5" t="s">
        <v>627</v>
      </c>
      <c r="E67" s="5" t="s">
        <v>628</v>
      </c>
      <c r="F67" s="5" t="s">
        <v>369</v>
      </c>
      <c r="G67" s="5" t="s">
        <v>629</v>
      </c>
    </row>
    <row r="68" customFormat="false" ht="109.5" hidden="false" customHeight="true" outlineLevel="0" collapsed="false">
      <c r="A68" s="19" t="s">
        <v>288</v>
      </c>
      <c r="B68" s="20" t="s">
        <v>630</v>
      </c>
      <c r="C68" s="19" t="s">
        <v>631</v>
      </c>
      <c r="D68" s="5" t="s">
        <v>632</v>
      </c>
      <c r="E68" s="5" t="s">
        <v>633</v>
      </c>
      <c r="F68" s="5" t="s">
        <v>369</v>
      </c>
      <c r="G68" s="5" t="s">
        <v>634</v>
      </c>
    </row>
    <row r="69" customFormat="false" ht="109.5" hidden="false" customHeight="true" outlineLevel="0" collapsed="false">
      <c r="A69" s="19" t="s">
        <v>289</v>
      </c>
      <c r="B69" s="20" t="s">
        <v>635</v>
      </c>
      <c r="C69" s="19" t="s">
        <v>636</v>
      </c>
      <c r="D69" s="5" t="s">
        <v>637</v>
      </c>
      <c r="E69" s="5" t="s">
        <v>638</v>
      </c>
      <c r="F69" s="5" t="s">
        <v>369</v>
      </c>
      <c r="G69" s="5" t="s">
        <v>639</v>
      </c>
    </row>
    <row r="70" customFormat="false" ht="109.5" hidden="false" customHeight="true" outlineLevel="0" collapsed="false">
      <c r="A70" s="19" t="s">
        <v>290</v>
      </c>
      <c r="B70" s="20" t="s">
        <v>640</v>
      </c>
      <c r="C70" s="19" t="s">
        <v>641</v>
      </c>
      <c r="D70" s="5" t="s">
        <v>642</v>
      </c>
      <c r="E70" s="5" t="s">
        <v>643</v>
      </c>
      <c r="F70" s="5" t="s">
        <v>369</v>
      </c>
      <c r="G70" s="5" t="s">
        <v>644</v>
      </c>
    </row>
    <row r="71" customFormat="false" ht="109.5" hidden="false" customHeight="true" outlineLevel="0" collapsed="false">
      <c r="A71" s="19" t="s">
        <v>291</v>
      </c>
      <c r="B71" s="20" t="s">
        <v>645</v>
      </c>
      <c r="C71" s="19" t="s">
        <v>646</v>
      </c>
      <c r="D71" s="5" t="s">
        <v>647</v>
      </c>
      <c r="E71" s="5" t="s">
        <v>648</v>
      </c>
      <c r="F71" s="5" t="s">
        <v>369</v>
      </c>
      <c r="G71" s="5" t="s">
        <v>649</v>
      </c>
    </row>
    <row r="72" customFormat="false" ht="109.5" hidden="false" customHeight="true" outlineLevel="0" collapsed="false">
      <c r="A72" s="19" t="s">
        <v>293</v>
      </c>
      <c r="B72" s="20" t="s">
        <v>650</v>
      </c>
      <c r="C72" s="19" t="s">
        <v>651</v>
      </c>
      <c r="D72" s="5" t="s">
        <v>652</v>
      </c>
      <c r="E72" s="5" t="s">
        <v>653</v>
      </c>
      <c r="F72" s="5" t="s">
        <v>369</v>
      </c>
      <c r="G72" s="5" t="s">
        <v>654</v>
      </c>
    </row>
    <row r="73" customFormat="false" ht="109.5" hidden="false" customHeight="true" outlineLevel="0" collapsed="false">
      <c r="A73" s="19" t="s">
        <v>294</v>
      </c>
      <c r="B73" s="20" t="s">
        <v>655</v>
      </c>
      <c r="C73" s="19" t="s">
        <v>656</v>
      </c>
      <c r="D73" s="5" t="s">
        <v>657</v>
      </c>
      <c r="E73" s="5" t="s">
        <v>658</v>
      </c>
      <c r="F73" s="5" t="s">
        <v>369</v>
      </c>
      <c r="G73" s="5" t="s">
        <v>659</v>
      </c>
    </row>
    <row r="74" customFormat="false" ht="109.5" hidden="false" customHeight="true" outlineLevel="0" collapsed="false">
      <c r="A74" s="19" t="s">
        <v>295</v>
      </c>
      <c r="B74" s="20" t="s">
        <v>660</v>
      </c>
      <c r="C74" s="19" t="s">
        <v>661</v>
      </c>
      <c r="D74" s="5" t="s">
        <v>662</v>
      </c>
      <c r="E74" s="5" t="s">
        <v>663</v>
      </c>
      <c r="F74" s="5" t="s">
        <v>369</v>
      </c>
      <c r="G74" s="5" t="s">
        <v>664</v>
      </c>
    </row>
    <row r="75" customFormat="false" ht="109.5" hidden="false" customHeight="true" outlineLevel="0" collapsed="false">
      <c r="A75" s="19" t="s">
        <v>296</v>
      </c>
      <c r="B75" s="20" t="s">
        <v>665</v>
      </c>
      <c r="C75" s="19" t="s">
        <v>666</v>
      </c>
      <c r="D75" s="5" t="s">
        <v>667</v>
      </c>
      <c r="E75" s="5" t="s">
        <v>668</v>
      </c>
      <c r="F75" s="5" t="s">
        <v>369</v>
      </c>
      <c r="G75" s="5" t="s">
        <v>669</v>
      </c>
    </row>
    <row r="76" customFormat="false" ht="109.5" hidden="false" customHeight="true" outlineLevel="0" collapsed="false">
      <c r="A76" s="19" t="s">
        <v>297</v>
      </c>
      <c r="B76" s="20" t="s">
        <v>670</v>
      </c>
      <c r="C76" s="19" t="s">
        <v>671</v>
      </c>
      <c r="D76" s="5" t="s">
        <v>672</v>
      </c>
      <c r="E76" s="5" t="s">
        <v>673</v>
      </c>
      <c r="F76" s="5" t="s">
        <v>369</v>
      </c>
      <c r="G76" s="5" t="s">
        <v>674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50"/>
    <col collapsed="false" customWidth="true" hidden="false" outlineLevel="0" max="4" min="4" style="0" width="18"/>
    <col collapsed="false" customWidth="true" hidden="false" outlineLevel="0" max="5" min="5" style="0" width="12"/>
  </cols>
  <sheetData>
    <row r="1" customFormat="false" ht="17.35" hidden="false" customHeight="false" outlineLevel="0" collapsed="false">
      <c r="A1" s="1" t="s">
        <v>675</v>
      </c>
      <c r="B1" s="1"/>
      <c r="C1" s="1"/>
      <c r="D1" s="1"/>
      <c r="E1" s="1"/>
    </row>
    <row r="3" customFormat="false" ht="27.75" hidden="false" customHeight="true" outlineLevel="0" collapsed="false">
      <c r="A3" s="3" t="s">
        <v>676</v>
      </c>
      <c r="B3" s="3" t="s">
        <v>677</v>
      </c>
      <c r="C3" s="3" t="s">
        <v>678</v>
      </c>
      <c r="D3" s="3" t="s">
        <v>679</v>
      </c>
      <c r="E3" s="3" t="s">
        <v>680</v>
      </c>
    </row>
    <row r="4" customFormat="false" ht="60" hidden="false" customHeight="true" outlineLevel="0" collapsed="false">
      <c r="A4" s="21" t="n">
        <v>1</v>
      </c>
      <c r="B4" s="5" t="s">
        <v>681</v>
      </c>
      <c r="C4" s="5" t="s">
        <v>682</v>
      </c>
      <c r="D4" s="5" t="s">
        <v>683</v>
      </c>
      <c r="E4" s="22" t="s">
        <v>13</v>
      </c>
    </row>
    <row r="5" customFormat="false" ht="60" hidden="false" customHeight="true" outlineLevel="0" collapsed="false">
      <c r="A5" s="21" t="n">
        <v>2</v>
      </c>
      <c r="B5" s="5" t="s">
        <v>684</v>
      </c>
      <c r="C5" s="5" t="s">
        <v>685</v>
      </c>
      <c r="D5" s="5" t="s">
        <v>686</v>
      </c>
      <c r="E5" s="22" t="s">
        <v>13</v>
      </c>
    </row>
    <row r="6" customFormat="false" ht="60" hidden="false" customHeight="true" outlineLevel="0" collapsed="false">
      <c r="A6" s="21" t="n">
        <v>3</v>
      </c>
      <c r="B6" s="5" t="s">
        <v>687</v>
      </c>
      <c r="C6" s="5" t="s">
        <v>688</v>
      </c>
      <c r="D6" s="5" t="s">
        <v>689</v>
      </c>
      <c r="E6" s="22" t="s">
        <v>13</v>
      </c>
    </row>
    <row r="7" customFormat="false" ht="60" hidden="false" customHeight="true" outlineLevel="0" collapsed="false">
      <c r="A7" s="21" t="n">
        <v>4</v>
      </c>
      <c r="B7" s="5" t="s">
        <v>690</v>
      </c>
      <c r="C7" s="5" t="s">
        <v>691</v>
      </c>
      <c r="D7" s="5" t="s">
        <v>689</v>
      </c>
      <c r="E7" s="7" t="s">
        <v>59</v>
      </c>
    </row>
    <row r="8" customFormat="false" ht="60" hidden="false" customHeight="true" outlineLevel="0" collapsed="false">
      <c r="A8" s="21" t="n">
        <v>5</v>
      </c>
      <c r="B8" s="5" t="s">
        <v>692</v>
      </c>
      <c r="C8" s="5" t="s">
        <v>693</v>
      </c>
      <c r="D8" s="5" t="s">
        <v>694</v>
      </c>
      <c r="E8" s="7" t="s">
        <v>59</v>
      </c>
    </row>
    <row r="9" customFormat="false" ht="60" hidden="false" customHeight="true" outlineLevel="0" collapsed="false">
      <c r="A9" s="21" t="n">
        <v>6</v>
      </c>
      <c r="B9" s="5" t="s">
        <v>695</v>
      </c>
      <c r="C9" s="5" t="s">
        <v>696</v>
      </c>
      <c r="D9" s="5" t="s">
        <v>689</v>
      </c>
      <c r="E9" s="7" t="s">
        <v>59</v>
      </c>
    </row>
    <row r="10" customFormat="false" ht="60" hidden="false" customHeight="true" outlineLevel="0" collapsed="false">
      <c r="A10" s="21" t="n">
        <v>7</v>
      </c>
      <c r="B10" s="5" t="s">
        <v>697</v>
      </c>
      <c r="C10" s="5" t="s">
        <v>698</v>
      </c>
      <c r="D10" s="5" t="s">
        <v>686</v>
      </c>
      <c r="E10" s="7" t="s">
        <v>59</v>
      </c>
    </row>
    <row r="11" customFormat="false" ht="60" hidden="false" customHeight="true" outlineLevel="0" collapsed="false">
      <c r="A11" s="21" t="n">
        <v>8</v>
      </c>
      <c r="B11" s="5" t="s">
        <v>699</v>
      </c>
      <c r="C11" s="5" t="s">
        <v>700</v>
      </c>
      <c r="D11" s="5" t="s">
        <v>686</v>
      </c>
      <c r="E11" s="7" t="s">
        <v>59</v>
      </c>
    </row>
    <row r="12" customFormat="false" ht="60" hidden="false" customHeight="true" outlineLevel="0" collapsed="false">
      <c r="A12" s="21" t="n">
        <v>9</v>
      </c>
      <c r="B12" s="5" t="s">
        <v>701</v>
      </c>
      <c r="C12" s="5" t="s">
        <v>702</v>
      </c>
      <c r="D12" s="5" t="s">
        <v>689</v>
      </c>
      <c r="E12" s="7" t="s">
        <v>59</v>
      </c>
    </row>
    <row r="13" customFormat="false" ht="60" hidden="false" customHeight="true" outlineLevel="0" collapsed="false">
      <c r="A13" s="21" t="n">
        <v>10</v>
      </c>
      <c r="B13" s="5" t="s">
        <v>703</v>
      </c>
      <c r="C13" s="5" t="s">
        <v>704</v>
      </c>
      <c r="D13" s="5" t="s">
        <v>689</v>
      </c>
      <c r="E13" s="7" t="s">
        <v>59</v>
      </c>
    </row>
    <row r="14" customFormat="false" ht="60" hidden="false" customHeight="true" outlineLevel="0" collapsed="false">
      <c r="A14" s="21" t="n">
        <v>11</v>
      </c>
      <c r="B14" s="5" t="s">
        <v>705</v>
      </c>
      <c r="C14" s="5" t="s">
        <v>706</v>
      </c>
      <c r="D14" s="5" t="s">
        <v>686</v>
      </c>
      <c r="E14" s="7" t="s">
        <v>59</v>
      </c>
    </row>
    <row r="15" customFormat="false" ht="60" hidden="false" customHeight="true" outlineLevel="0" collapsed="false">
      <c r="A15" s="21" t="n">
        <v>12</v>
      </c>
      <c r="B15" s="5" t="s">
        <v>707</v>
      </c>
      <c r="C15" s="5" t="s">
        <v>708</v>
      </c>
      <c r="D15" s="5" t="s">
        <v>689</v>
      </c>
      <c r="E15" s="7" t="s">
        <v>59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2026-05-07T16:18:04Z</dcterms:created>
  <dc:creator>openpyxl</dc:creator>
  <dc:description/>
  <dc:language>en-US</dc:language>
  <cp:lastModifiedBy/>
  <dcterms:modified xsi:type="dcterms:W3CDTF">2026-05-07T16:18:04Z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