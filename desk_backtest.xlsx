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Match Universe" sheetId="2" state="visible" r:id="rId2"/>
    <sheet name="Snapshots" sheetId="3" state="visible" r:id="rId3"/>
    <sheet name="Calibration" sheetId="4" state="visible" r:id="rId4"/>
    <sheet name="Metrics" sheetId="5" state="visible" r:id="rId5"/>
    <sheet name="Open Question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\+0.0%;\-0.0%;0.0%"/>
    <numFmt numFmtId="167" formatCode="\+0.0;\-0.0;0.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1A1A"/>
      <sz val="14"/>
    </font>
    <font>
      <name val="Arial"/>
      <charset val="1"/>
      <family val="0"/>
      <b val="1"/>
      <color rgb="FFC8632A"/>
      <sz val="11"/>
    </font>
    <font>
      <name val="Arial"/>
      <charset val="1"/>
      <family val="0"/>
      <color rgb="FF3A3A3A"/>
      <sz val="10"/>
    </font>
    <font>
      <name val="Consolas"/>
      <charset val="1"/>
      <family val="0"/>
      <color rgb="FF3A3A3A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A5A5A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2A6A2A"/>
      <sz val="10"/>
    </font>
    <font>
      <name val="Arial"/>
      <charset val="1"/>
      <family val="0"/>
      <i val="1"/>
      <color rgb="FF2A6A2A"/>
      <sz val="10"/>
    </font>
  </fonts>
  <fills count="7">
    <fill>
      <patternFill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FDF4EC"/>
        <bgColor rgb="FFF8F6F1"/>
      </patternFill>
    </fill>
    <fill>
      <patternFill patternType="solid">
        <fgColor rgb="FFF8F6F1"/>
        <bgColor rgb="FFFDF4EC"/>
      </patternFill>
    </fill>
    <fill>
      <patternFill patternType="solid">
        <fgColor rgb="FFC8632A"/>
        <bgColor rgb="FFFF8080"/>
      </patternFill>
    </fill>
    <fill>
      <patternFill patternType="solid">
        <fgColor rgb="FFE0F0E0"/>
        <bgColor rgb="FFF8F6F1"/>
      </patternFill>
    </fill>
  </fills>
  <borders count="2">
    <border>
      <left/>
      <right/>
      <top/>
      <bottom/>
      <diagonal/>
    </border>
    <border>
      <left style="thin">
        <color rgb="FFD9CFBF"/>
      </left>
      <right style="thin">
        <color rgb="FFD9CFBF"/>
      </right>
      <top style="thin">
        <color rgb="FFD9CFBF"/>
      </top>
      <bottom style="thin">
        <color rgb="FFD9C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2" fontId="9" fillId="3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center" indent="1"/>
    </xf>
    <xf numFmtId="164" fontId="12" fillId="0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14" fillId="6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center" indent="1"/>
    </xf>
    <xf numFmtId="164" fontId="12" fillId="0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14" fillId="6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A6A2A"/>
      <rgbColor rgb="FF000080"/>
      <rgbColor rgb="FF808000"/>
      <rgbColor rgb="FF800080"/>
      <rgbColor rgb="FF008080"/>
      <rgbColor rgb="FFD9CFBF"/>
      <rgbColor rgb="FF808080"/>
      <rgbColor rgb="FF9999FF"/>
      <rgbColor rgb="FF993366"/>
      <rgbColor rgb="FFFDF4EC"/>
      <rgbColor rgb="FFF8F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F0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8632A"/>
      <rgbColor rgb="FF5A5A5A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3A3A3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0" customWidth="1" style="34" min="1" max="1"/>
  </cols>
  <sheetData>
    <row r="1" ht="17.25" customHeight="1" s="35">
      <c r="A1" s="36" t="inlineStr">
        <is>
          <t>DESK BACKTEST — METHODOLOGY &amp; WORKBOOK GUIDE</t>
        </is>
      </c>
    </row>
    <row r="2" ht="15" customHeight="1" s="35">
      <c r="A2" s="37" t="n"/>
    </row>
    <row r="3" ht="15" customHeight="1" s="35">
      <c r="A3" s="38" t="inlineStr">
        <is>
          <t>Purpose</t>
        </is>
      </c>
    </row>
    <row r="4" ht="30" customHeight="1" s="35">
      <c r="A4" s="39" t="inlineStr">
        <is>
          <t>Quantify The Desk's calibration and edge against historical World Cup, Euro, and Copa America data. The deliverable is a calibration story we can defend — not a hit-rate brag.</t>
        </is>
      </c>
    </row>
    <row r="5" ht="15" customHeight="1" s="35">
      <c r="A5" s="37" t="n"/>
    </row>
    <row r="6" ht="15" customHeight="1" s="35">
      <c r="A6" s="38" t="inlineStr">
        <is>
          <t>What gets measured</t>
        </is>
      </c>
    </row>
    <row r="7" ht="30" customHeight="1" s="35">
      <c r="A7" s="39" t="inlineStr">
        <is>
          <t>• Brier score per match per time-window (lower = better calibrated). Compared against the closing market as the baseline-to-beat.</t>
        </is>
      </c>
    </row>
    <row r="8" ht="30" customHeight="1" s="35">
      <c r="A8" s="39" t="inlineStr">
        <is>
          <t>• Reliability diagram: bin all (probability, outcome) pairs and check whether predicted rates match observed rates within each bin.</t>
        </is>
      </c>
    </row>
    <row r="9" ht="15" customHeight="1" s="35">
      <c r="A9" s="39" t="inlineStr">
        <is>
          <t>• Pick-vs-market head-to-head: when The Desk Picked and the market disagreed, who was right?</t>
        </is>
      </c>
    </row>
    <row r="10" ht="15" customHeight="1" s="35">
      <c r="A10" s="39" t="inlineStr">
        <is>
          <t>• Hit rate of Picks — sanity check only, never the headline number.</t>
        </is>
      </c>
    </row>
    <row r="11" ht="15" customHeight="1" s="35">
      <c r="A11" s="37" t="n"/>
    </row>
    <row r="12" ht="15" customHeight="1" s="35">
      <c r="A12" s="38" t="inlineStr">
        <is>
          <t>Time windows per match</t>
        </is>
      </c>
    </row>
    <row r="13" ht="15" customHeight="1" s="35">
      <c r="A13" s="39" t="inlineStr">
        <is>
          <t>Each match is snapshotted at four points to show how calibration evolves as kickoff approaches:</t>
        </is>
      </c>
    </row>
    <row r="14" ht="15" customHeight="1" s="35">
      <c r="A14" s="40" t="inlineStr">
        <is>
          <t xml:space="preserve">  T−38d  · pre-tournament (fundamentals only — Elo, host venue, altitude)</t>
        </is>
      </c>
    </row>
    <row r="15" ht="15" customHeight="1" s="35">
      <c r="A15" s="40" t="inlineStr">
        <is>
          <t xml:space="preserve">  T−5d   · weather forecast added</t>
        </is>
      </c>
    </row>
    <row r="16" ht="15" customHeight="1" s="35">
      <c r="A16" s="40" t="inlineStr">
        <is>
          <t xml:space="preserve">  T−1h   · injuries + confirmed XI added</t>
        </is>
      </c>
    </row>
    <row r="17" ht="15" customHeight="1" s="35">
      <c r="A17" s="40" t="inlineStr">
        <is>
          <t xml:space="preserve">  KO     · final snapshot, closing market price recorded</t>
        </is>
      </c>
    </row>
    <row r="18" ht="15" customHeight="1" s="35">
      <c r="A18" s="37" t="n"/>
    </row>
    <row r="19" ht="15" customHeight="1" s="35">
      <c r="A19" s="38" t="inlineStr">
        <is>
          <t>Lookahead-prevention rule (critical for backtest validity)</t>
        </is>
      </c>
    </row>
    <row r="20" ht="45" customHeight="1" s="35">
      <c r="A20" s="39" t="inlineStr">
        <is>
          <t>At each simulated time window we may ONLY use data that would have been available at that point. No future results, no later news, no closing market when simulating T−38. This is how we avoid building a model that looks calibrated only because it secretly knew the answer.</t>
        </is>
      </c>
    </row>
    <row r="21" ht="15" customHeight="1" s="35">
      <c r="A21" s="37" t="n"/>
    </row>
    <row r="22" ht="15" customHeight="1" s="35">
      <c r="A22" s="38" t="inlineStr">
        <is>
          <t>Tournament universe (target)</t>
        </is>
      </c>
    </row>
    <row r="23" ht="15" customHeight="1" s="35">
      <c r="A23" s="40" t="inlineStr">
        <is>
          <t>• WC 2022    · 64 matches  · group + knockout</t>
        </is>
      </c>
    </row>
    <row r="24" ht="15" customHeight="1" s="35">
      <c r="A24" s="40" t="inlineStr">
        <is>
          <t>• Euro 2024  · 51 matches  · group + knockout</t>
        </is>
      </c>
    </row>
    <row r="25" ht="15" customHeight="1" s="35">
      <c r="A25" s="40" t="inlineStr">
        <is>
          <t>• Copa 2024  · 32 matches  · group + knockout</t>
        </is>
      </c>
    </row>
    <row r="26" ht="15" customHeight="1" s="35">
      <c r="A26" s="39" t="inlineStr">
        <is>
          <t>Total: 147 matches × 4 windows = 588 snapshots.</t>
        </is>
      </c>
    </row>
    <row r="27" ht="15" customHeight="1" s="35">
      <c r="A27" s="37" t="n"/>
    </row>
    <row r="28" ht="15" customHeight="1" s="35">
      <c r="A28" s="38" t="inlineStr">
        <is>
          <t>How to populate this workbook</t>
        </is>
      </c>
    </row>
    <row r="29" ht="15" customHeight="1" s="35">
      <c r="A29" s="39" t="inlineStr">
        <is>
          <t>1. Match Universe tab: paste the match list (date, teams, group/stage, venue, final result).</t>
        </is>
      </c>
    </row>
    <row r="30" ht="30" customHeight="1" s="35">
      <c r="A30" s="39" t="inlineStr">
        <is>
          <t>2. Snapshots tab: one row per (match × window). Fill in features, model output, market price. The Brier score and verdict columns are formula-driven.</t>
        </is>
      </c>
    </row>
    <row r="31" ht="15" customHeight="1" s="35">
      <c r="A31" s="39" t="inlineStr">
        <is>
          <t>3. Calibration tab: pulls from Snapshots automatically. Inspect the reliability diagram.</t>
        </is>
      </c>
    </row>
    <row r="32" ht="15" customHeight="1" s="35">
      <c r="A32" s="39" t="inlineStr">
        <is>
          <t>4. Metrics tab: summary numbers compute from Snapshots. Read top-down for the headline story.</t>
        </is>
      </c>
    </row>
    <row r="33" ht="15" customHeight="1" s="35">
      <c r="A33" s="39" t="inlineStr">
        <is>
          <t>5. Open Questions tab: decisions to lock before running the real backtest end-to-end.</t>
        </is>
      </c>
    </row>
    <row r="34" ht="15" customHeight="1" s="35">
      <c r="A34" s="37" t="n"/>
    </row>
    <row r="35" ht="15" customHeight="1" s="35">
      <c r="A35" s="38" t="inlineStr">
        <is>
          <t>Honest framing</t>
        </is>
      </c>
    </row>
    <row r="36" ht="45" customHeight="1" s="35">
      <c r="A36" s="39" t="inlineStr">
        <is>
          <t>If the backtest comes out poorly, that's also a deliverable — it tells us what to fix before launch. The workbook is designed to be read by us, by Faktor, and (eventually, in suitably edited form) by users on the /track-record page. No fudging, no removing matches that didn't go our way.</t>
        </is>
      </c>
    </row>
    <row r="37" ht="15" customHeight="1" s="35">
      <c r="A37" s="37" t="n"/>
    </row>
    <row r="38" ht="15" customHeight="1" s="35">
      <c r="A38" s="38" t="inlineStr">
        <is>
          <t>Status — 2026-05-08</t>
        </is>
      </c>
    </row>
    <row r="39" ht="30" customHeight="1" s="35">
      <c r="A39" s="39" t="inlineStr">
        <is>
          <t>Scaffold delivered with five WC 2022 matches as ILLUSTRATIVE EXAMPLES (clearly marked). Real Elo / closing-market / news-feed data ingestion required before metrics can be trusted.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34" min="1" max="1"/>
    <col width="12" customWidth="1" style="34" min="2" max="3"/>
    <col width="18" customWidth="1" style="34" min="4" max="4"/>
    <col width="14" customWidth="1" style="34" min="5" max="6"/>
    <col width="16" customWidth="1" style="34" min="7" max="7"/>
    <col width="9" customWidth="1" style="34" min="8" max="11"/>
    <col width="12" customWidth="1" style="34" min="12" max="12"/>
  </cols>
  <sheetData>
    <row r="1" ht="15" customHeight="1" s="35">
      <c r="A1" s="41" t="inlineStr">
        <is>
          <t>match_id</t>
        </is>
      </c>
      <c r="B1" s="41" t="inlineStr">
        <is>
          <t>tournament</t>
        </is>
      </c>
      <c r="C1" s="41" t="inlineStr">
        <is>
          <t>stage</t>
        </is>
      </c>
      <c r="D1" s="41" t="inlineStr">
        <is>
          <t>kickoff_utc</t>
        </is>
      </c>
      <c r="E1" s="41" t="inlineStr">
        <is>
          <t>team_a</t>
        </is>
      </c>
      <c r="F1" s="41" t="inlineStr">
        <is>
          <t>team_b</t>
        </is>
      </c>
      <c r="G1" s="41" t="inlineStr">
        <is>
          <t>venue_city</t>
        </is>
      </c>
      <c r="H1" s="41" t="inlineStr">
        <is>
          <t>venue_country</t>
        </is>
      </c>
      <c r="I1" s="41" t="inlineStr">
        <is>
          <t>result_a</t>
        </is>
      </c>
      <c r="J1" s="41" t="inlineStr">
        <is>
          <t>result_b</t>
        </is>
      </c>
      <c r="K1" s="41" t="inlineStr">
        <is>
          <t>winner</t>
        </is>
      </c>
      <c r="L1" s="41" t="inlineStr">
        <is>
          <t>is_example</t>
        </is>
      </c>
    </row>
    <row r="2" ht="15" customHeight="1" s="35">
      <c r="A2" t="inlineStr">
        <is>
          <t>wc22-a-qat-ecu-20221120</t>
        </is>
      </c>
      <c r="B2" t="inlineStr">
        <is>
          <t>FIFA World Cup 2022</t>
        </is>
      </c>
      <c r="C2" t="inlineStr">
        <is>
          <t>Group A</t>
        </is>
      </c>
      <c r="D2" t="inlineStr">
        <is>
          <t>2022-11-20 16:00</t>
        </is>
      </c>
      <c r="E2" t="inlineStr">
        <is>
          <t>Qatar</t>
        </is>
      </c>
      <c r="F2" t="inlineStr">
        <is>
          <t>Ecuador</t>
        </is>
      </c>
      <c r="G2" t="inlineStr">
        <is>
          <t>Al Khor</t>
        </is>
      </c>
      <c r="H2" t="inlineStr">
        <is>
          <t>QA</t>
        </is>
      </c>
      <c r="I2" t="n">
        <v>0</v>
      </c>
      <c r="J2" t="n">
        <v>2</v>
      </c>
      <c r="K2" t="inlineStr">
        <is>
          <t>b</t>
        </is>
      </c>
      <c r="L2" t="inlineStr">
        <is>
          <t>BACKTEST wc 2022</t>
        </is>
      </c>
    </row>
    <row r="3" ht="15" customHeight="1" s="35">
      <c r="A3" t="inlineStr">
        <is>
          <t>wc22-b-eng-irn-20221121</t>
        </is>
      </c>
      <c r="B3" t="inlineStr">
        <is>
          <t>FIFA World Cup 2022</t>
        </is>
      </c>
      <c r="C3" t="inlineStr">
        <is>
          <t>Group B</t>
        </is>
      </c>
      <c r="D3" t="inlineStr">
        <is>
          <t>2022-11-21 13:00</t>
        </is>
      </c>
      <c r="E3" t="inlineStr">
        <is>
          <t>England</t>
        </is>
      </c>
      <c r="F3" t="inlineStr">
        <is>
          <t>Iran</t>
        </is>
      </c>
      <c r="G3" t="inlineStr">
        <is>
          <t>Doha</t>
        </is>
      </c>
      <c r="H3" t="inlineStr">
        <is>
          <t>QA</t>
        </is>
      </c>
      <c r="I3" t="n">
        <v>6</v>
      </c>
      <c r="J3" t="n">
        <v>2</v>
      </c>
      <c r="K3" t="inlineStr">
        <is>
          <t>a</t>
        </is>
      </c>
      <c r="L3" t="inlineStr">
        <is>
          <t>BACKTEST wc 2022</t>
        </is>
      </c>
    </row>
    <row r="4" ht="15" customHeight="1" s="35">
      <c r="A4" t="inlineStr">
        <is>
          <t>wc22-a-sen-ned-20221121</t>
        </is>
      </c>
      <c r="B4" t="inlineStr">
        <is>
          <t>FIFA World Cup 2022</t>
        </is>
      </c>
      <c r="C4" t="inlineStr">
        <is>
          <t>Group A</t>
        </is>
      </c>
      <c r="D4" t="inlineStr">
        <is>
          <t>2022-11-21 16:00</t>
        </is>
      </c>
      <c r="E4" t="inlineStr">
        <is>
          <t>Senegal</t>
        </is>
      </c>
      <c r="F4" t="inlineStr">
        <is>
          <t>Netherlands</t>
        </is>
      </c>
      <c r="G4" t="inlineStr">
        <is>
          <t>Doha</t>
        </is>
      </c>
      <c r="H4" t="inlineStr">
        <is>
          <t>QA</t>
        </is>
      </c>
      <c r="I4" t="n">
        <v>0</v>
      </c>
      <c r="J4" t="n">
        <v>2</v>
      </c>
      <c r="K4" t="inlineStr">
        <is>
          <t>b</t>
        </is>
      </c>
      <c r="L4" t="inlineStr">
        <is>
          <t>BACKTEST wc 2022</t>
        </is>
      </c>
    </row>
    <row r="5" ht="15" customHeight="1" s="35">
      <c r="A5" t="inlineStr">
        <is>
          <t>wc22-b-usa-wal-20221121</t>
        </is>
      </c>
      <c r="B5" t="inlineStr">
        <is>
          <t>FIFA World Cup 2022</t>
        </is>
      </c>
      <c r="C5" t="inlineStr">
        <is>
          <t>Group B</t>
        </is>
      </c>
      <c r="D5" t="inlineStr">
        <is>
          <t>2022-11-21 19:00</t>
        </is>
      </c>
      <c r="E5" t="inlineStr">
        <is>
          <t>USA</t>
        </is>
      </c>
      <c r="F5" t="inlineStr">
        <is>
          <t>Wales</t>
        </is>
      </c>
      <c r="G5" t="inlineStr">
        <is>
          <t>Al Rayyan</t>
        </is>
      </c>
      <c r="H5" t="inlineStr">
        <is>
          <t>QA</t>
        </is>
      </c>
      <c r="I5" t="n">
        <v>1</v>
      </c>
      <c r="J5" t="n">
        <v>1</v>
      </c>
      <c r="K5" t="inlineStr">
        <is>
          <t>draw</t>
        </is>
      </c>
      <c r="L5" t="inlineStr">
        <is>
          <t>BACKTEST wc 2022</t>
        </is>
      </c>
    </row>
    <row r="6" ht="15" customHeight="1" s="35">
      <c r="A6" t="inlineStr">
        <is>
          <t>wc22-c-arg-sau-20221122</t>
        </is>
      </c>
      <c r="B6" t="inlineStr">
        <is>
          <t>FIFA World Cup 2022</t>
        </is>
      </c>
      <c r="C6" t="inlineStr">
        <is>
          <t>Group C</t>
        </is>
      </c>
      <c r="D6" t="inlineStr">
        <is>
          <t>2022-11-22 10:00</t>
        </is>
      </c>
      <c r="E6" t="inlineStr">
        <is>
          <t>Argentina</t>
        </is>
      </c>
      <c r="F6" t="inlineStr">
        <is>
          <t>Saudi Arabia</t>
        </is>
      </c>
      <c r="G6" t="inlineStr">
        <is>
          <t>Lusail</t>
        </is>
      </c>
      <c r="H6" t="inlineStr">
        <is>
          <t>QA</t>
        </is>
      </c>
      <c r="I6" t="n">
        <v>1</v>
      </c>
      <c r="J6" t="n">
        <v>2</v>
      </c>
      <c r="K6" t="inlineStr">
        <is>
          <t>b</t>
        </is>
      </c>
      <c r="L6" t="inlineStr">
        <is>
          <t>BACKTEST wc 2022</t>
        </is>
      </c>
    </row>
    <row r="7" ht="15" customHeight="1" s="35">
      <c r="A7" t="inlineStr">
        <is>
          <t>wc22-d-den-tun-20221122</t>
        </is>
      </c>
      <c r="B7" t="inlineStr">
        <is>
          <t>FIFA World Cup 2022</t>
        </is>
      </c>
      <c r="C7" t="inlineStr">
        <is>
          <t>Group D</t>
        </is>
      </c>
      <c r="D7" t="inlineStr">
        <is>
          <t>2022-11-22 13:00</t>
        </is>
      </c>
      <c r="E7" t="inlineStr">
        <is>
          <t>Denmark</t>
        </is>
      </c>
      <c r="F7" t="inlineStr">
        <is>
          <t>Tunisia</t>
        </is>
      </c>
      <c r="G7" t="inlineStr">
        <is>
          <t>Al Rayyan</t>
        </is>
      </c>
      <c r="H7" t="inlineStr">
        <is>
          <t>QA</t>
        </is>
      </c>
      <c r="I7" t="n">
        <v>0</v>
      </c>
      <c r="J7" t="n">
        <v>0</v>
      </c>
      <c r="K7" t="inlineStr">
        <is>
          <t>draw</t>
        </is>
      </c>
      <c r="L7" t="inlineStr">
        <is>
          <t>BACKTEST wc 2022</t>
        </is>
      </c>
    </row>
    <row r="8" ht="15" customHeight="1" s="35">
      <c r="A8" t="inlineStr">
        <is>
          <t>wc22-c-mex-pol-20221122</t>
        </is>
      </c>
      <c r="B8" t="inlineStr">
        <is>
          <t>FIFA World Cup 2022</t>
        </is>
      </c>
      <c r="C8" t="inlineStr">
        <is>
          <t>Group C</t>
        </is>
      </c>
      <c r="D8" t="inlineStr">
        <is>
          <t>2022-11-22 16:00</t>
        </is>
      </c>
      <c r="E8" t="inlineStr">
        <is>
          <t>Mexico</t>
        </is>
      </c>
      <c r="F8" t="inlineStr">
        <is>
          <t>Poland</t>
        </is>
      </c>
      <c r="G8" t="inlineStr">
        <is>
          <t>Doha</t>
        </is>
      </c>
      <c r="H8" t="inlineStr">
        <is>
          <t>QA</t>
        </is>
      </c>
      <c r="I8" t="n">
        <v>0</v>
      </c>
      <c r="J8" t="n">
        <v>0</v>
      </c>
      <c r="K8" t="inlineStr">
        <is>
          <t>draw</t>
        </is>
      </c>
      <c r="L8" t="inlineStr">
        <is>
          <t>BACKTEST wc 2022</t>
        </is>
      </c>
    </row>
    <row r="9" ht="15" customHeight="1" s="35">
      <c r="A9" t="inlineStr">
        <is>
          <t>wc22-d-fra-aus-20221122</t>
        </is>
      </c>
      <c r="B9" t="inlineStr">
        <is>
          <t>FIFA World Cup 2022</t>
        </is>
      </c>
      <c r="C9" t="inlineStr">
        <is>
          <t>Group D</t>
        </is>
      </c>
      <c r="D9" t="inlineStr">
        <is>
          <t>2022-11-22 19:00</t>
        </is>
      </c>
      <c r="E9" t="inlineStr">
        <is>
          <t>France</t>
        </is>
      </c>
      <c r="F9" t="inlineStr">
        <is>
          <t>Australia</t>
        </is>
      </c>
      <c r="G9" t="inlineStr">
        <is>
          <t>Al Wakrah</t>
        </is>
      </c>
      <c r="H9" t="inlineStr">
        <is>
          <t>QA</t>
        </is>
      </c>
      <c r="I9" t="n">
        <v>4</v>
      </c>
      <c r="J9" t="n">
        <v>1</v>
      </c>
      <c r="K9" t="inlineStr">
        <is>
          <t>a</t>
        </is>
      </c>
      <c r="L9" t="inlineStr">
        <is>
          <t>BACKTEST wc 2022</t>
        </is>
      </c>
    </row>
    <row r="10" ht="15" customHeight="1" s="35">
      <c r="A10" t="inlineStr">
        <is>
          <t>wc22-f-mar-cro-20221123</t>
        </is>
      </c>
      <c r="B10" t="inlineStr">
        <is>
          <t>FIFA World Cup 2022</t>
        </is>
      </c>
      <c r="C10" t="inlineStr">
        <is>
          <t>Group F</t>
        </is>
      </c>
      <c r="D10" t="inlineStr">
        <is>
          <t>2022-11-23 10:00</t>
        </is>
      </c>
      <c r="E10" t="inlineStr">
        <is>
          <t>Morocco</t>
        </is>
      </c>
      <c r="F10" t="inlineStr">
        <is>
          <t>Croatia</t>
        </is>
      </c>
      <c r="G10" t="inlineStr">
        <is>
          <t>Al Khor</t>
        </is>
      </c>
      <c r="H10" t="inlineStr">
        <is>
          <t>QA</t>
        </is>
      </c>
      <c r="I10" t="n">
        <v>0</v>
      </c>
      <c r="J10" t="n">
        <v>0</v>
      </c>
      <c r="K10" t="inlineStr">
        <is>
          <t>draw</t>
        </is>
      </c>
      <c r="L10" t="inlineStr">
        <is>
          <t>BACKTEST wc 2022</t>
        </is>
      </c>
    </row>
    <row r="11" ht="15" customHeight="1" s="35">
      <c r="A11" t="inlineStr">
        <is>
          <t>wc22-e-ger-jpn-20221123</t>
        </is>
      </c>
      <c r="B11" t="inlineStr">
        <is>
          <t>FIFA World Cup 2022</t>
        </is>
      </c>
      <c r="C11" t="inlineStr">
        <is>
          <t>Group E</t>
        </is>
      </c>
      <c r="D11" t="inlineStr">
        <is>
          <t>2022-11-23 13:00</t>
        </is>
      </c>
      <c r="E11" t="inlineStr">
        <is>
          <t>Germany</t>
        </is>
      </c>
      <c r="F11" t="inlineStr">
        <is>
          <t>Japan</t>
        </is>
      </c>
      <c r="G11" t="inlineStr">
        <is>
          <t>Doha</t>
        </is>
      </c>
      <c r="H11" t="inlineStr">
        <is>
          <t>QA</t>
        </is>
      </c>
      <c r="I11" t="n">
        <v>1</v>
      </c>
      <c r="J11" t="n">
        <v>2</v>
      </c>
      <c r="K11" t="inlineStr">
        <is>
          <t>b</t>
        </is>
      </c>
      <c r="L11" t="inlineStr">
        <is>
          <t>BACKTEST wc 2022</t>
        </is>
      </c>
    </row>
    <row r="12" ht="15" customHeight="1" s="35">
      <c r="A12" t="inlineStr">
        <is>
          <t>wc22-e-esp-crc-20221123</t>
        </is>
      </c>
      <c r="B12" t="inlineStr">
        <is>
          <t>FIFA World Cup 2022</t>
        </is>
      </c>
      <c r="C12" t="inlineStr">
        <is>
          <t>Group E</t>
        </is>
      </c>
      <c r="D12" t="inlineStr">
        <is>
          <t>2022-11-23 16:00</t>
        </is>
      </c>
      <c r="E12" t="inlineStr">
        <is>
          <t>Spain</t>
        </is>
      </c>
      <c r="F12" t="inlineStr">
        <is>
          <t>Costa Rica</t>
        </is>
      </c>
      <c r="G12" t="inlineStr">
        <is>
          <t>Doha</t>
        </is>
      </c>
      <c r="H12" t="inlineStr">
        <is>
          <t>QA</t>
        </is>
      </c>
      <c r="I12" t="n">
        <v>7</v>
      </c>
      <c r="J12" t="n">
        <v>0</v>
      </c>
      <c r="K12" t="inlineStr">
        <is>
          <t>a</t>
        </is>
      </c>
      <c r="L12" t="inlineStr">
        <is>
          <t>BACKTEST wc 2022</t>
        </is>
      </c>
    </row>
    <row r="13" ht="15" customHeight="1" s="35">
      <c r="A13" t="inlineStr">
        <is>
          <t>wc22-f-bel-can-20221123</t>
        </is>
      </c>
      <c r="B13" t="inlineStr">
        <is>
          <t>FIFA World Cup 2022</t>
        </is>
      </c>
      <c r="C13" t="inlineStr">
        <is>
          <t>Group F</t>
        </is>
      </c>
      <c r="D13" t="inlineStr">
        <is>
          <t>2022-11-23 19:00</t>
        </is>
      </c>
      <c r="E13" t="inlineStr">
        <is>
          <t>Belgium</t>
        </is>
      </c>
      <c r="F13" t="inlineStr">
        <is>
          <t>Canada</t>
        </is>
      </c>
      <c r="G13" t="inlineStr">
        <is>
          <t>Al Rayyan</t>
        </is>
      </c>
      <c r="H13" t="inlineStr">
        <is>
          <t>QA</t>
        </is>
      </c>
      <c r="I13" t="n">
        <v>1</v>
      </c>
      <c r="J13" t="n">
        <v>0</v>
      </c>
      <c r="K13" t="inlineStr">
        <is>
          <t>a</t>
        </is>
      </c>
      <c r="L13" t="inlineStr">
        <is>
          <t>BACKTEST wc 2022</t>
        </is>
      </c>
    </row>
    <row r="14" ht="15" customHeight="1" s="35">
      <c r="A14" t="inlineStr">
        <is>
          <t>wc22-g-sui-cmr-20221124</t>
        </is>
      </c>
      <c r="B14" t="inlineStr">
        <is>
          <t>FIFA World Cup 2022</t>
        </is>
      </c>
      <c r="C14" t="inlineStr">
        <is>
          <t>Group G</t>
        </is>
      </c>
      <c r="D14" t="inlineStr">
        <is>
          <t>2022-11-24 10:00</t>
        </is>
      </c>
      <c r="E14" t="inlineStr">
        <is>
          <t>Switzerland</t>
        </is>
      </c>
      <c r="F14" t="inlineStr">
        <is>
          <t>Cameroon</t>
        </is>
      </c>
      <c r="G14" t="inlineStr">
        <is>
          <t>Al Wakrah</t>
        </is>
      </c>
      <c r="H14" t="inlineStr">
        <is>
          <t>QA</t>
        </is>
      </c>
      <c r="I14" t="n">
        <v>1</v>
      </c>
      <c r="J14" t="n">
        <v>0</v>
      </c>
      <c r="K14" t="inlineStr">
        <is>
          <t>a</t>
        </is>
      </c>
      <c r="L14" t="inlineStr">
        <is>
          <t>BACKTEST wc 2022</t>
        </is>
      </c>
    </row>
    <row r="15">
      <c r="A15" t="inlineStr">
        <is>
          <t>wc22-h-uru-kor-20221124</t>
        </is>
      </c>
      <c r="B15" t="inlineStr">
        <is>
          <t>FIFA World Cup 2022</t>
        </is>
      </c>
      <c r="C15" t="inlineStr">
        <is>
          <t>Group H</t>
        </is>
      </c>
      <c r="D15" t="inlineStr">
        <is>
          <t>2022-11-24 13:00</t>
        </is>
      </c>
      <c r="E15" t="inlineStr">
        <is>
          <t>Uruguay</t>
        </is>
      </c>
      <c r="F15" t="inlineStr">
        <is>
          <t>South Korea</t>
        </is>
      </c>
      <c r="G15" t="inlineStr">
        <is>
          <t>Al Rayyan</t>
        </is>
      </c>
      <c r="H15" t="inlineStr">
        <is>
          <t>QA</t>
        </is>
      </c>
      <c r="I15" t="n">
        <v>0</v>
      </c>
      <c r="J15" t="n">
        <v>0</v>
      </c>
      <c r="K15" t="inlineStr">
        <is>
          <t>draw</t>
        </is>
      </c>
      <c r="L15" t="inlineStr">
        <is>
          <t>BACKTEST wc 2022</t>
        </is>
      </c>
    </row>
    <row r="16" ht="34.5" customHeight="1" s="35">
      <c r="A16" t="inlineStr">
        <is>
          <t>wc22-h-por-gha-20221124</t>
        </is>
      </c>
      <c r="B16" t="inlineStr">
        <is>
          <t>FIFA World Cup 2022</t>
        </is>
      </c>
      <c r="C16" t="inlineStr">
        <is>
          <t>Group H</t>
        </is>
      </c>
      <c r="D16" t="inlineStr">
        <is>
          <t>2022-11-24 16:00</t>
        </is>
      </c>
      <c r="E16" t="inlineStr">
        <is>
          <t>Portugal</t>
        </is>
      </c>
      <c r="F16" t="inlineStr">
        <is>
          <t>Ghana</t>
        </is>
      </c>
      <c r="G16" t="inlineStr">
        <is>
          <t>Doha</t>
        </is>
      </c>
      <c r="H16" t="inlineStr">
        <is>
          <t>QA</t>
        </is>
      </c>
      <c r="I16" t="n">
        <v>3</v>
      </c>
      <c r="J16" t="n">
        <v>2</v>
      </c>
      <c r="K16" t="inlineStr">
        <is>
          <t>a</t>
        </is>
      </c>
      <c r="L16" t="inlineStr">
        <is>
          <t>BACKTEST wc 2022</t>
        </is>
      </c>
    </row>
    <row r="17">
      <c r="A17" t="inlineStr">
        <is>
          <t>wc22-g-bra-srb-20221124</t>
        </is>
      </c>
      <c r="B17" t="inlineStr">
        <is>
          <t>FIFA World Cup 2022</t>
        </is>
      </c>
      <c r="C17" t="inlineStr">
        <is>
          <t>Group G</t>
        </is>
      </c>
      <c r="D17" t="inlineStr">
        <is>
          <t>2022-11-24 19:00</t>
        </is>
      </c>
      <c r="E17" t="inlineStr">
        <is>
          <t>Brazil</t>
        </is>
      </c>
      <c r="F17" t="inlineStr">
        <is>
          <t>Serbia</t>
        </is>
      </c>
      <c r="G17" t="inlineStr">
        <is>
          <t>Lusail</t>
        </is>
      </c>
      <c r="H17" t="inlineStr">
        <is>
          <t>QA</t>
        </is>
      </c>
      <c r="I17" t="n">
        <v>2</v>
      </c>
      <c r="J17" t="n">
        <v>0</v>
      </c>
      <c r="K17" t="inlineStr">
        <is>
          <t>a</t>
        </is>
      </c>
      <c r="L17" t="inlineStr">
        <is>
          <t>BACKTEST wc 2022</t>
        </is>
      </c>
    </row>
    <row r="18">
      <c r="A18" t="inlineStr">
        <is>
          <t>wc22-b-wal-irn-20221125</t>
        </is>
      </c>
      <c r="B18" t="inlineStr">
        <is>
          <t>FIFA World Cup 2022</t>
        </is>
      </c>
      <c r="C18" t="inlineStr">
        <is>
          <t>Group B</t>
        </is>
      </c>
      <c r="D18" t="inlineStr">
        <is>
          <t>2022-11-25 10:00</t>
        </is>
      </c>
      <c r="E18" t="inlineStr">
        <is>
          <t>Wales</t>
        </is>
      </c>
      <c r="F18" t="inlineStr">
        <is>
          <t>Iran</t>
        </is>
      </c>
      <c r="G18" t="inlineStr">
        <is>
          <t>Al Rayyan</t>
        </is>
      </c>
      <c r="H18" t="inlineStr">
        <is>
          <t>QA</t>
        </is>
      </c>
      <c r="I18" t="n">
        <v>0</v>
      </c>
      <c r="J18" t="n">
        <v>2</v>
      </c>
      <c r="K18" t="inlineStr">
        <is>
          <t>b</t>
        </is>
      </c>
      <c r="L18" t="inlineStr">
        <is>
          <t>BACKTEST wc 2022</t>
        </is>
      </c>
    </row>
    <row r="19">
      <c r="A19" t="inlineStr">
        <is>
          <t>wc22-a-qat-sen-20221125</t>
        </is>
      </c>
      <c r="B19" t="inlineStr">
        <is>
          <t>FIFA World Cup 2022</t>
        </is>
      </c>
      <c r="C19" t="inlineStr">
        <is>
          <t>Group A</t>
        </is>
      </c>
      <c r="D19" t="inlineStr">
        <is>
          <t>2022-11-25 13:00</t>
        </is>
      </c>
      <c r="E19" t="inlineStr">
        <is>
          <t>Qatar</t>
        </is>
      </c>
      <c r="F19" t="inlineStr">
        <is>
          <t>Senegal</t>
        </is>
      </c>
      <c r="G19" t="inlineStr">
        <is>
          <t>Doha</t>
        </is>
      </c>
      <c r="H19" t="inlineStr">
        <is>
          <t>QA</t>
        </is>
      </c>
      <c r="I19" t="n">
        <v>1</v>
      </c>
      <c r="J19" t="n">
        <v>3</v>
      </c>
      <c r="K19" t="inlineStr">
        <is>
          <t>b</t>
        </is>
      </c>
      <c r="L19" t="inlineStr">
        <is>
          <t>BACKTEST wc 2022</t>
        </is>
      </c>
    </row>
    <row r="20">
      <c r="A20" t="inlineStr">
        <is>
          <t>wc22-a-ned-ecu-20221125</t>
        </is>
      </c>
      <c r="B20" t="inlineStr">
        <is>
          <t>FIFA World Cup 2022</t>
        </is>
      </c>
      <c r="C20" t="inlineStr">
        <is>
          <t>Group A</t>
        </is>
      </c>
      <c r="D20" t="inlineStr">
        <is>
          <t>2022-11-25 16:00</t>
        </is>
      </c>
      <c r="E20" t="inlineStr">
        <is>
          <t>Netherlands</t>
        </is>
      </c>
      <c r="F20" t="inlineStr">
        <is>
          <t>Ecuador</t>
        </is>
      </c>
      <c r="G20" t="inlineStr">
        <is>
          <t>Al Rayyan</t>
        </is>
      </c>
      <c r="H20" t="inlineStr">
        <is>
          <t>QA</t>
        </is>
      </c>
      <c r="I20" t="n">
        <v>1</v>
      </c>
      <c r="J20" t="n">
        <v>1</v>
      </c>
      <c r="K20" t="inlineStr">
        <is>
          <t>draw</t>
        </is>
      </c>
      <c r="L20" t="inlineStr">
        <is>
          <t>BACKTEST wc 2022</t>
        </is>
      </c>
    </row>
    <row r="21">
      <c r="A21" t="inlineStr">
        <is>
          <t>wc22-b-eng-usa-20221125</t>
        </is>
      </c>
      <c r="B21" t="inlineStr">
        <is>
          <t>FIFA World Cup 2022</t>
        </is>
      </c>
      <c r="C21" t="inlineStr">
        <is>
          <t>Group B</t>
        </is>
      </c>
      <c r="D21" t="inlineStr">
        <is>
          <t>2022-11-25 19:00</t>
        </is>
      </c>
      <c r="E21" t="inlineStr">
        <is>
          <t>England</t>
        </is>
      </c>
      <c r="F21" t="inlineStr">
        <is>
          <t>USA</t>
        </is>
      </c>
      <c r="G21" t="inlineStr">
        <is>
          <t>Al Khor</t>
        </is>
      </c>
      <c r="H21" t="inlineStr">
        <is>
          <t>QA</t>
        </is>
      </c>
      <c r="I21" t="n">
        <v>0</v>
      </c>
      <c r="J21" t="n">
        <v>0</v>
      </c>
      <c r="K21" t="inlineStr">
        <is>
          <t>draw</t>
        </is>
      </c>
      <c r="L21" t="inlineStr">
        <is>
          <t>BACKTEST wc 2022</t>
        </is>
      </c>
    </row>
    <row r="22">
      <c r="A22" t="inlineStr">
        <is>
          <t>wc22-d-tun-aus-20221126</t>
        </is>
      </c>
      <c r="B22" t="inlineStr">
        <is>
          <t>FIFA World Cup 2022</t>
        </is>
      </c>
      <c r="C22" t="inlineStr">
        <is>
          <t>Group D</t>
        </is>
      </c>
      <c r="D22" t="inlineStr">
        <is>
          <t>2022-11-26 10:00</t>
        </is>
      </c>
      <c r="E22" t="inlineStr">
        <is>
          <t>Tunisia</t>
        </is>
      </c>
      <c r="F22" t="inlineStr">
        <is>
          <t>Australia</t>
        </is>
      </c>
      <c r="G22" t="inlineStr">
        <is>
          <t>Al Wakrah</t>
        </is>
      </c>
      <c r="H22" t="inlineStr">
        <is>
          <t>QA</t>
        </is>
      </c>
      <c r="I22" t="n">
        <v>0</v>
      </c>
      <c r="J22" t="n">
        <v>1</v>
      </c>
      <c r="K22" t="inlineStr">
        <is>
          <t>b</t>
        </is>
      </c>
      <c r="L22" t="inlineStr">
        <is>
          <t>BACKTEST wc 2022</t>
        </is>
      </c>
    </row>
    <row r="23">
      <c r="A23" t="inlineStr">
        <is>
          <t>wc22-c-pol-sau-20221126</t>
        </is>
      </c>
      <c r="B23" t="inlineStr">
        <is>
          <t>FIFA World Cup 2022</t>
        </is>
      </c>
      <c r="C23" t="inlineStr">
        <is>
          <t>Group C</t>
        </is>
      </c>
      <c r="D23" t="inlineStr">
        <is>
          <t>2022-11-26 13:00</t>
        </is>
      </c>
      <c r="E23" t="inlineStr">
        <is>
          <t>Poland</t>
        </is>
      </c>
      <c r="F23" t="inlineStr">
        <is>
          <t>Saudi Arabia</t>
        </is>
      </c>
      <c r="G23" t="inlineStr">
        <is>
          <t>Doha</t>
        </is>
      </c>
      <c r="H23" t="inlineStr">
        <is>
          <t>QA</t>
        </is>
      </c>
      <c r="I23" t="n">
        <v>2</v>
      </c>
      <c r="J23" t="n">
        <v>0</v>
      </c>
      <c r="K23" t="inlineStr">
        <is>
          <t>a</t>
        </is>
      </c>
      <c r="L23" t="inlineStr">
        <is>
          <t>BACKTEST wc 2022</t>
        </is>
      </c>
    </row>
    <row r="24">
      <c r="A24" t="inlineStr">
        <is>
          <t>wc22-d-fra-den-20221126</t>
        </is>
      </c>
      <c r="B24" t="inlineStr">
        <is>
          <t>FIFA World Cup 2022</t>
        </is>
      </c>
      <c r="C24" t="inlineStr">
        <is>
          <t>Group D</t>
        </is>
      </c>
      <c r="D24" t="inlineStr">
        <is>
          <t>2022-11-26 16:00</t>
        </is>
      </c>
      <c r="E24" t="inlineStr">
        <is>
          <t>France</t>
        </is>
      </c>
      <c r="F24" t="inlineStr">
        <is>
          <t>Denmark</t>
        </is>
      </c>
      <c r="G24" t="inlineStr">
        <is>
          <t>Doha</t>
        </is>
      </c>
      <c r="H24" t="inlineStr">
        <is>
          <t>QA</t>
        </is>
      </c>
      <c r="I24" t="n">
        <v>2</v>
      </c>
      <c r="J24" t="n">
        <v>1</v>
      </c>
      <c r="K24" t="inlineStr">
        <is>
          <t>a</t>
        </is>
      </c>
      <c r="L24" t="inlineStr">
        <is>
          <t>BACKTEST wc 2022</t>
        </is>
      </c>
    </row>
    <row r="25">
      <c r="A25" t="inlineStr">
        <is>
          <t>wc22-c-arg-mex-20221126</t>
        </is>
      </c>
      <c r="B25" t="inlineStr">
        <is>
          <t>FIFA World Cup 2022</t>
        </is>
      </c>
      <c r="C25" t="inlineStr">
        <is>
          <t>Group C</t>
        </is>
      </c>
      <c r="D25" t="inlineStr">
        <is>
          <t>2022-11-26 19:00</t>
        </is>
      </c>
      <c r="E25" t="inlineStr">
        <is>
          <t>Argentina</t>
        </is>
      </c>
      <c r="F25" t="inlineStr">
        <is>
          <t>Mexico</t>
        </is>
      </c>
      <c r="G25" t="inlineStr">
        <is>
          <t>Lusail</t>
        </is>
      </c>
      <c r="H25" t="inlineStr">
        <is>
          <t>QA</t>
        </is>
      </c>
      <c r="I25" t="n">
        <v>2</v>
      </c>
      <c r="J25" t="n">
        <v>0</v>
      </c>
      <c r="K25" t="inlineStr">
        <is>
          <t>a</t>
        </is>
      </c>
      <c r="L25" t="inlineStr">
        <is>
          <t>BACKTEST wc 2022</t>
        </is>
      </c>
    </row>
    <row r="26">
      <c r="A26" t="inlineStr">
        <is>
          <t>wc22-e-jpn-crc-20221127</t>
        </is>
      </c>
      <c r="B26" t="inlineStr">
        <is>
          <t>FIFA World Cup 2022</t>
        </is>
      </c>
      <c r="C26" t="inlineStr">
        <is>
          <t>Group E</t>
        </is>
      </c>
      <c r="D26" t="inlineStr">
        <is>
          <t>2022-11-27 10:00</t>
        </is>
      </c>
      <c r="E26" t="inlineStr">
        <is>
          <t>Japan</t>
        </is>
      </c>
      <c r="F26" t="inlineStr">
        <is>
          <t>Costa Rica</t>
        </is>
      </c>
      <c r="G26" t="inlineStr">
        <is>
          <t>Al Rayyan</t>
        </is>
      </c>
      <c r="H26" t="inlineStr">
        <is>
          <t>QA</t>
        </is>
      </c>
      <c r="I26" t="n">
        <v>0</v>
      </c>
      <c r="J26" t="n">
        <v>1</v>
      </c>
      <c r="K26" t="inlineStr">
        <is>
          <t>b</t>
        </is>
      </c>
      <c r="L26" t="inlineStr">
        <is>
          <t>BACKTEST wc 2022</t>
        </is>
      </c>
    </row>
    <row r="27">
      <c r="A27" t="inlineStr">
        <is>
          <t>wc22-f-bel-mar-20221127</t>
        </is>
      </c>
      <c r="B27" t="inlineStr">
        <is>
          <t>FIFA World Cup 2022</t>
        </is>
      </c>
      <c r="C27" t="inlineStr">
        <is>
          <t>Group F</t>
        </is>
      </c>
      <c r="D27" t="inlineStr">
        <is>
          <t>2022-11-27 13:00</t>
        </is>
      </c>
      <c r="E27" t="inlineStr">
        <is>
          <t>Belgium</t>
        </is>
      </c>
      <c r="F27" t="inlineStr">
        <is>
          <t>Morocco</t>
        </is>
      </c>
      <c r="G27" t="inlineStr">
        <is>
          <t>Doha</t>
        </is>
      </c>
      <c r="H27" t="inlineStr">
        <is>
          <t>QA</t>
        </is>
      </c>
      <c r="I27" t="n">
        <v>0</v>
      </c>
      <c r="J27" t="n">
        <v>2</v>
      </c>
      <c r="K27" t="inlineStr">
        <is>
          <t>b</t>
        </is>
      </c>
      <c r="L27" t="inlineStr">
        <is>
          <t>BACKTEST wc 2022</t>
        </is>
      </c>
    </row>
    <row r="28">
      <c r="A28" t="inlineStr">
        <is>
          <t>wc22-f-cro-can-20221127</t>
        </is>
      </c>
      <c r="B28" t="inlineStr">
        <is>
          <t>FIFA World Cup 2022</t>
        </is>
      </c>
      <c r="C28" t="inlineStr">
        <is>
          <t>Group F</t>
        </is>
      </c>
      <c r="D28" t="inlineStr">
        <is>
          <t>2022-11-27 16:00</t>
        </is>
      </c>
      <c r="E28" t="inlineStr">
        <is>
          <t>Croatia</t>
        </is>
      </c>
      <c r="F28" t="inlineStr">
        <is>
          <t>Canada</t>
        </is>
      </c>
      <c r="G28" t="inlineStr">
        <is>
          <t>Al Khor</t>
        </is>
      </c>
      <c r="H28" t="inlineStr">
        <is>
          <t>QA</t>
        </is>
      </c>
      <c r="I28" t="n">
        <v>4</v>
      </c>
      <c r="J28" t="n">
        <v>1</v>
      </c>
      <c r="K28" t="inlineStr">
        <is>
          <t>a</t>
        </is>
      </c>
      <c r="L28" t="inlineStr">
        <is>
          <t>BACKTEST wc 2022</t>
        </is>
      </c>
    </row>
    <row r="29">
      <c r="A29" t="inlineStr">
        <is>
          <t>wc22-e-esp-ger-20221127</t>
        </is>
      </c>
      <c r="B29" t="inlineStr">
        <is>
          <t>FIFA World Cup 2022</t>
        </is>
      </c>
      <c r="C29" t="inlineStr">
        <is>
          <t>Group E</t>
        </is>
      </c>
      <c r="D29" t="inlineStr">
        <is>
          <t>2022-11-27 19:00</t>
        </is>
      </c>
      <c r="E29" t="inlineStr">
        <is>
          <t>Spain</t>
        </is>
      </c>
      <c r="F29" t="inlineStr">
        <is>
          <t>Germany</t>
        </is>
      </c>
      <c r="G29" t="inlineStr">
        <is>
          <t>Al Khor</t>
        </is>
      </c>
      <c r="H29" t="inlineStr">
        <is>
          <t>QA</t>
        </is>
      </c>
      <c r="I29" t="n">
        <v>1</v>
      </c>
      <c r="J29" t="n">
        <v>1</v>
      </c>
      <c r="K29" t="inlineStr">
        <is>
          <t>draw</t>
        </is>
      </c>
      <c r="L29" t="inlineStr">
        <is>
          <t>BACKTEST wc 2022</t>
        </is>
      </c>
    </row>
    <row r="30">
      <c r="A30" t="inlineStr">
        <is>
          <t>wc22-g-cmr-srb-20221128</t>
        </is>
      </c>
      <c r="B30" t="inlineStr">
        <is>
          <t>FIFA World Cup 2022</t>
        </is>
      </c>
      <c r="C30" t="inlineStr">
        <is>
          <t>Group G</t>
        </is>
      </c>
      <c r="D30" t="inlineStr">
        <is>
          <t>2022-11-28 10:00</t>
        </is>
      </c>
      <c r="E30" t="inlineStr">
        <is>
          <t>Cameroon</t>
        </is>
      </c>
      <c r="F30" t="inlineStr">
        <is>
          <t>Serbia</t>
        </is>
      </c>
      <c r="G30" t="inlineStr">
        <is>
          <t>Al Wakrah</t>
        </is>
      </c>
      <c r="H30" t="inlineStr">
        <is>
          <t>QA</t>
        </is>
      </c>
      <c r="I30" t="n">
        <v>3</v>
      </c>
      <c r="J30" t="n">
        <v>3</v>
      </c>
      <c r="K30" t="inlineStr">
        <is>
          <t>draw</t>
        </is>
      </c>
      <c r="L30" t="inlineStr">
        <is>
          <t>BACKTEST wc 2022</t>
        </is>
      </c>
    </row>
    <row r="31">
      <c r="A31" t="inlineStr">
        <is>
          <t>wc22-h-kor-gha-20221128</t>
        </is>
      </c>
      <c r="B31" t="inlineStr">
        <is>
          <t>FIFA World Cup 2022</t>
        </is>
      </c>
      <c r="C31" t="inlineStr">
        <is>
          <t>Group H</t>
        </is>
      </c>
      <c r="D31" t="inlineStr">
        <is>
          <t>2022-11-28 13:00</t>
        </is>
      </c>
      <c r="E31" t="inlineStr">
        <is>
          <t>South Korea</t>
        </is>
      </c>
      <c r="F31" t="inlineStr">
        <is>
          <t>Ghana</t>
        </is>
      </c>
      <c r="G31" t="inlineStr">
        <is>
          <t>Al Rayyan</t>
        </is>
      </c>
      <c r="H31" t="inlineStr">
        <is>
          <t>QA</t>
        </is>
      </c>
      <c r="I31" t="n">
        <v>2</v>
      </c>
      <c r="J31" t="n">
        <v>3</v>
      </c>
      <c r="K31" t="inlineStr">
        <is>
          <t>b</t>
        </is>
      </c>
      <c r="L31" t="inlineStr">
        <is>
          <t>BACKTEST wc 2022</t>
        </is>
      </c>
    </row>
    <row r="32">
      <c r="A32" t="inlineStr">
        <is>
          <t>wc22-g-bra-sui-20221128</t>
        </is>
      </c>
      <c r="B32" t="inlineStr">
        <is>
          <t>FIFA World Cup 2022</t>
        </is>
      </c>
      <c r="C32" t="inlineStr">
        <is>
          <t>Group G</t>
        </is>
      </c>
      <c r="D32" t="inlineStr">
        <is>
          <t>2022-11-28 16:00</t>
        </is>
      </c>
      <c r="E32" t="inlineStr">
        <is>
          <t>Brazil</t>
        </is>
      </c>
      <c r="F32" t="inlineStr">
        <is>
          <t>Switzerland</t>
        </is>
      </c>
      <c r="G32" t="inlineStr">
        <is>
          <t>Doha</t>
        </is>
      </c>
      <c r="H32" t="inlineStr">
        <is>
          <t>QA</t>
        </is>
      </c>
      <c r="I32" t="n">
        <v>1</v>
      </c>
      <c r="J32" t="n">
        <v>0</v>
      </c>
      <c r="K32" t="inlineStr">
        <is>
          <t>a</t>
        </is>
      </c>
      <c r="L32" t="inlineStr">
        <is>
          <t>BACKTEST wc 2022</t>
        </is>
      </c>
    </row>
    <row r="33">
      <c r="A33" t="inlineStr">
        <is>
          <t>wc22-h-por-uru-20221128</t>
        </is>
      </c>
      <c r="B33" t="inlineStr">
        <is>
          <t>FIFA World Cup 2022</t>
        </is>
      </c>
      <c r="C33" t="inlineStr">
        <is>
          <t>Group H</t>
        </is>
      </c>
      <c r="D33" t="inlineStr">
        <is>
          <t>2022-11-28 19:00</t>
        </is>
      </c>
      <c r="E33" t="inlineStr">
        <is>
          <t>Portugal</t>
        </is>
      </c>
      <c r="F33" t="inlineStr">
        <is>
          <t>Uruguay</t>
        </is>
      </c>
      <c r="G33" t="inlineStr">
        <is>
          <t>Lusail</t>
        </is>
      </c>
      <c r="H33" t="inlineStr">
        <is>
          <t>QA</t>
        </is>
      </c>
      <c r="I33" t="n">
        <v>2</v>
      </c>
      <c r="J33" t="n">
        <v>0</v>
      </c>
      <c r="K33" t="inlineStr">
        <is>
          <t>a</t>
        </is>
      </c>
      <c r="L33" t="inlineStr">
        <is>
          <t>BACKTEST wc 2022</t>
        </is>
      </c>
    </row>
    <row r="34">
      <c r="A34" t="inlineStr">
        <is>
          <t>wc22-a-ned-qat-20221129</t>
        </is>
      </c>
      <c r="B34" t="inlineStr">
        <is>
          <t>FIFA World Cup 2022</t>
        </is>
      </c>
      <c r="C34" t="inlineStr">
        <is>
          <t>Group A</t>
        </is>
      </c>
      <c r="D34" t="inlineStr">
        <is>
          <t>2022-11-29 15:00</t>
        </is>
      </c>
      <c r="E34" t="inlineStr">
        <is>
          <t>Netherlands</t>
        </is>
      </c>
      <c r="F34" t="inlineStr">
        <is>
          <t>Qatar</t>
        </is>
      </c>
      <c r="G34" t="inlineStr">
        <is>
          <t>Al Khor</t>
        </is>
      </c>
      <c r="H34" t="inlineStr">
        <is>
          <t>QA</t>
        </is>
      </c>
      <c r="I34" t="n">
        <v>2</v>
      </c>
      <c r="J34" t="n">
        <v>0</v>
      </c>
      <c r="K34" t="inlineStr">
        <is>
          <t>a</t>
        </is>
      </c>
      <c r="L34" t="inlineStr">
        <is>
          <t>BACKTEST wc 2022</t>
        </is>
      </c>
    </row>
    <row r="35">
      <c r="A35" t="inlineStr">
        <is>
          <t>wc22-a-ecu-sen-20221129</t>
        </is>
      </c>
      <c r="B35" t="inlineStr">
        <is>
          <t>FIFA World Cup 2022</t>
        </is>
      </c>
      <c r="C35" t="inlineStr">
        <is>
          <t>Group A</t>
        </is>
      </c>
      <c r="D35" t="inlineStr">
        <is>
          <t>2022-11-29 15:00</t>
        </is>
      </c>
      <c r="E35" t="inlineStr">
        <is>
          <t>Ecuador</t>
        </is>
      </c>
      <c r="F35" t="inlineStr">
        <is>
          <t>Senegal</t>
        </is>
      </c>
      <c r="G35" t="inlineStr">
        <is>
          <t>Doha</t>
        </is>
      </c>
      <c r="H35" t="inlineStr">
        <is>
          <t>QA</t>
        </is>
      </c>
      <c r="I35" t="n">
        <v>1</v>
      </c>
      <c r="J35" t="n">
        <v>2</v>
      </c>
      <c r="K35" t="inlineStr">
        <is>
          <t>b</t>
        </is>
      </c>
      <c r="L35" t="inlineStr">
        <is>
          <t>BACKTEST wc 2022</t>
        </is>
      </c>
    </row>
    <row r="36">
      <c r="A36" t="inlineStr">
        <is>
          <t>wc22-b-wal-eng-20221129</t>
        </is>
      </c>
      <c r="B36" t="inlineStr">
        <is>
          <t>FIFA World Cup 2022</t>
        </is>
      </c>
      <c r="C36" t="inlineStr">
        <is>
          <t>Group B</t>
        </is>
      </c>
      <c r="D36" t="inlineStr">
        <is>
          <t>2022-11-29 19:00</t>
        </is>
      </c>
      <c r="E36" t="inlineStr">
        <is>
          <t>Wales</t>
        </is>
      </c>
      <c r="F36" t="inlineStr">
        <is>
          <t>England</t>
        </is>
      </c>
      <c r="G36" t="inlineStr">
        <is>
          <t>Al Rayyan</t>
        </is>
      </c>
      <c r="H36" t="inlineStr">
        <is>
          <t>QA</t>
        </is>
      </c>
      <c r="I36" t="n">
        <v>0</v>
      </c>
      <c r="J36" t="n">
        <v>3</v>
      </c>
      <c r="K36" t="inlineStr">
        <is>
          <t>b</t>
        </is>
      </c>
      <c r="L36" t="inlineStr">
        <is>
          <t>BACKTEST wc 2022</t>
        </is>
      </c>
    </row>
    <row r="37">
      <c r="A37" t="inlineStr">
        <is>
          <t>wc22-b-irn-usa-20221129</t>
        </is>
      </c>
      <c r="B37" t="inlineStr">
        <is>
          <t>FIFA World Cup 2022</t>
        </is>
      </c>
      <c r="C37" t="inlineStr">
        <is>
          <t>Group B</t>
        </is>
      </c>
      <c r="D37" t="inlineStr">
        <is>
          <t>2022-11-29 19:00</t>
        </is>
      </c>
      <c r="E37" t="inlineStr">
        <is>
          <t>Iran</t>
        </is>
      </c>
      <c r="F37" t="inlineStr">
        <is>
          <t>USA</t>
        </is>
      </c>
      <c r="G37" t="inlineStr">
        <is>
          <t>Doha</t>
        </is>
      </c>
      <c r="H37" t="inlineStr">
        <is>
          <t>QA</t>
        </is>
      </c>
      <c r="I37" t="n">
        <v>0</v>
      </c>
      <c r="J37" t="n">
        <v>1</v>
      </c>
      <c r="K37" t="inlineStr">
        <is>
          <t>b</t>
        </is>
      </c>
      <c r="L37" t="inlineStr">
        <is>
          <t>BACKTEST wc 2022</t>
        </is>
      </c>
    </row>
    <row r="38">
      <c r="A38" t="inlineStr">
        <is>
          <t>wc22-d-tun-fra-20221130</t>
        </is>
      </c>
      <c r="B38" t="inlineStr">
        <is>
          <t>FIFA World Cup 2022</t>
        </is>
      </c>
      <c r="C38" t="inlineStr">
        <is>
          <t>Group D</t>
        </is>
      </c>
      <c r="D38" t="inlineStr">
        <is>
          <t>2022-11-30 15:00</t>
        </is>
      </c>
      <c r="E38" t="inlineStr">
        <is>
          <t>Tunisia</t>
        </is>
      </c>
      <c r="F38" t="inlineStr">
        <is>
          <t>France</t>
        </is>
      </c>
      <c r="G38" t="inlineStr">
        <is>
          <t>Al Rayyan</t>
        </is>
      </c>
      <c r="H38" t="inlineStr">
        <is>
          <t>QA</t>
        </is>
      </c>
      <c r="I38" t="n">
        <v>1</v>
      </c>
      <c r="J38" t="n">
        <v>0</v>
      </c>
      <c r="K38" t="inlineStr">
        <is>
          <t>a</t>
        </is>
      </c>
      <c r="L38" t="inlineStr">
        <is>
          <t>BACKTEST wc 2022</t>
        </is>
      </c>
    </row>
    <row r="39">
      <c r="A39" t="inlineStr">
        <is>
          <t>wc22-d-aus-den-20221130</t>
        </is>
      </c>
      <c r="B39" t="inlineStr">
        <is>
          <t>FIFA World Cup 2022</t>
        </is>
      </c>
      <c r="C39" t="inlineStr">
        <is>
          <t>Group D</t>
        </is>
      </c>
      <c r="D39" t="inlineStr">
        <is>
          <t>2022-11-30 15:00</t>
        </is>
      </c>
      <c r="E39" t="inlineStr">
        <is>
          <t>Australia</t>
        </is>
      </c>
      <c r="F39" t="inlineStr">
        <is>
          <t>Denmark</t>
        </is>
      </c>
      <c r="G39" t="inlineStr">
        <is>
          <t>Al Wakrah</t>
        </is>
      </c>
      <c r="H39" t="inlineStr">
        <is>
          <t>QA</t>
        </is>
      </c>
      <c r="I39" t="n">
        <v>1</v>
      </c>
      <c r="J39" t="n">
        <v>0</v>
      </c>
      <c r="K39" t="inlineStr">
        <is>
          <t>a</t>
        </is>
      </c>
      <c r="L39" t="inlineStr">
        <is>
          <t>BACKTEST wc 2022</t>
        </is>
      </c>
    </row>
    <row r="40">
      <c r="A40" t="inlineStr">
        <is>
          <t>wc22-c-pol-arg-20221130</t>
        </is>
      </c>
      <c r="B40" t="inlineStr">
        <is>
          <t>FIFA World Cup 2022</t>
        </is>
      </c>
      <c r="C40" t="inlineStr">
        <is>
          <t>Group C</t>
        </is>
      </c>
      <c r="D40" t="inlineStr">
        <is>
          <t>2022-11-30 19:00</t>
        </is>
      </c>
      <c r="E40" t="inlineStr">
        <is>
          <t>Poland</t>
        </is>
      </c>
      <c r="F40" t="inlineStr">
        <is>
          <t>Argentina</t>
        </is>
      </c>
      <c r="G40" t="inlineStr">
        <is>
          <t>Doha</t>
        </is>
      </c>
      <c r="H40" t="inlineStr">
        <is>
          <t>QA</t>
        </is>
      </c>
      <c r="I40" t="n">
        <v>0</v>
      </c>
      <c r="J40" t="n">
        <v>2</v>
      </c>
      <c r="K40" t="inlineStr">
        <is>
          <t>b</t>
        </is>
      </c>
      <c r="L40" t="inlineStr">
        <is>
          <t>BACKTEST wc 2022</t>
        </is>
      </c>
    </row>
    <row r="41">
      <c r="A41" t="inlineStr">
        <is>
          <t>wc22-c-sau-mex-20221130</t>
        </is>
      </c>
      <c r="B41" t="inlineStr">
        <is>
          <t>FIFA World Cup 2022</t>
        </is>
      </c>
      <c r="C41" t="inlineStr">
        <is>
          <t>Group C</t>
        </is>
      </c>
      <c r="D41" t="inlineStr">
        <is>
          <t>2022-11-30 19:00</t>
        </is>
      </c>
      <c r="E41" t="inlineStr">
        <is>
          <t>Saudi Arabia</t>
        </is>
      </c>
      <c r="F41" t="inlineStr">
        <is>
          <t>Mexico</t>
        </is>
      </c>
      <c r="G41" t="inlineStr">
        <is>
          <t>Lusail</t>
        </is>
      </c>
      <c r="H41" t="inlineStr">
        <is>
          <t>QA</t>
        </is>
      </c>
      <c r="I41" t="n">
        <v>1</v>
      </c>
      <c r="J41" t="n">
        <v>2</v>
      </c>
      <c r="K41" t="inlineStr">
        <is>
          <t>b</t>
        </is>
      </c>
      <c r="L41" t="inlineStr">
        <is>
          <t>BACKTEST wc 2022</t>
        </is>
      </c>
    </row>
    <row r="42">
      <c r="A42" t="inlineStr">
        <is>
          <t>wc22-f-cro-bel-20221201</t>
        </is>
      </c>
      <c r="B42" t="inlineStr">
        <is>
          <t>FIFA World Cup 2022</t>
        </is>
      </c>
      <c r="C42" t="inlineStr">
        <is>
          <t>Group F</t>
        </is>
      </c>
      <c r="D42" t="inlineStr">
        <is>
          <t>2022-12-01 15:00</t>
        </is>
      </c>
      <c r="E42" t="inlineStr">
        <is>
          <t>Croatia</t>
        </is>
      </c>
      <c r="F42" t="inlineStr">
        <is>
          <t>Belgium</t>
        </is>
      </c>
      <c r="G42" t="inlineStr">
        <is>
          <t>Al Rayyan</t>
        </is>
      </c>
      <c r="H42" t="inlineStr">
        <is>
          <t>QA</t>
        </is>
      </c>
      <c r="I42" t="n">
        <v>0</v>
      </c>
      <c r="J42" t="n">
        <v>0</v>
      </c>
      <c r="K42" t="inlineStr">
        <is>
          <t>draw</t>
        </is>
      </c>
      <c r="L42" t="inlineStr">
        <is>
          <t>BACKTEST wc 2022</t>
        </is>
      </c>
    </row>
    <row r="43">
      <c r="A43" t="inlineStr">
        <is>
          <t>wc22-f-can-mar-20221201</t>
        </is>
      </c>
      <c r="B43" t="inlineStr">
        <is>
          <t>FIFA World Cup 2022</t>
        </is>
      </c>
      <c r="C43" t="inlineStr">
        <is>
          <t>Group F</t>
        </is>
      </c>
      <c r="D43" t="inlineStr">
        <is>
          <t>2022-12-01 15:00</t>
        </is>
      </c>
      <c r="E43" t="inlineStr">
        <is>
          <t>Canada</t>
        </is>
      </c>
      <c r="F43" t="inlineStr">
        <is>
          <t>Morocco</t>
        </is>
      </c>
      <c r="G43" t="inlineStr">
        <is>
          <t>Doha</t>
        </is>
      </c>
      <c r="H43" t="inlineStr">
        <is>
          <t>QA</t>
        </is>
      </c>
      <c r="I43" t="n">
        <v>1</v>
      </c>
      <c r="J43" t="n">
        <v>2</v>
      </c>
      <c r="K43" t="inlineStr">
        <is>
          <t>b</t>
        </is>
      </c>
      <c r="L43" t="inlineStr">
        <is>
          <t>BACKTEST wc 2022</t>
        </is>
      </c>
    </row>
    <row r="44">
      <c r="A44" t="inlineStr">
        <is>
          <t>wc22-e-jpn-esp-20221201</t>
        </is>
      </c>
      <c r="B44" t="inlineStr">
        <is>
          <t>FIFA World Cup 2022</t>
        </is>
      </c>
      <c r="C44" t="inlineStr">
        <is>
          <t>Group E</t>
        </is>
      </c>
      <c r="D44" t="inlineStr">
        <is>
          <t>2022-12-01 19:00</t>
        </is>
      </c>
      <c r="E44" t="inlineStr">
        <is>
          <t>Japan</t>
        </is>
      </c>
      <c r="F44" t="inlineStr">
        <is>
          <t>Spain</t>
        </is>
      </c>
      <c r="G44" t="inlineStr">
        <is>
          <t>Al Khor</t>
        </is>
      </c>
      <c r="H44" t="inlineStr">
        <is>
          <t>QA</t>
        </is>
      </c>
      <c r="I44" t="n">
        <v>2</v>
      </c>
      <c r="J44" t="n">
        <v>1</v>
      </c>
      <c r="K44" t="inlineStr">
        <is>
          <t>a</t>
        </is>
      </c>
      <c r="L44" t="inlineStr">
        <is>
          <t>BACKTEST wc 2022</t>
        </is>
      </c>
    </row>
    <row r="45">
      <c r="A45" t="inlineStr">
        <is>
          <t>wc22-e-crc-ger-20221201</t>
        </is>
      </c>
      <c r="B45" t="inlineStr">
        <is>
          <t>FIFA World Cup 2022</t>
        </is>
      </c>
      <c r="C45" t="inlineStr">
        <is>
          <t>Group E</t>
        </is>
      </c>
      <c r="D45" t="inlineStr">
        <is>
          <t>2022-12-01 19:00</t>
        </is>
      </c>
      <c r="E45" t="inlineStr">
        <is>
          <t>Costa Rica</t>
        </is>
      </c>
      <c r="F45" t="inlineStr">
        <is>
          <t>Germany</t>
        </is>
      </c>
      <c r="G45" t="inlineStr">
        <is>
          <t>Al Khor</t>
        </is>
      </c>
      <c r="H45" t="inlineStr">
        <is>
          <t>QA</t>
        </is>
      </c>
      <c r="I45" t="n">
        <v>2</v>
      </c>
      <c r="J45" t="n">
        <v>4</v>
      </c>
      <c r="K45" t="inlineStr">
        <is>
          <t>b</t>
        </is>
      </c>
      <c r="L45" t="inlineStr">
        <is>
          <t>BACKTEST wc 2022</t>
        </is>
      </c>
    </row>
    <row r="46">
      <c r="A46" t="inlineStr">
        <is>
          <t>wc22-h-kor-por-20221202</t>
        </is>
      </c>
      <c r="B46" t="inlineStr">
        <is>
          <t>FIFA World Cup 2022</t>
        </is>
      </c>
      <c r="C46" t="inlineStr">
        <is>
          <t>Group H</t>
        </is>
      </c>
      <c r="D46" t="inlineStr">
        <is>
          <t>2022-12-02 15:00</t>
        </is>
      </c>
      <c r="E46" t="inlineStr">
        <is>
          <t>South Korea</t>
        </is>
      </c>
      <c r="F46" t="inlineStr">
        <is>
          <t>Portugal</t>
        </is>
      </c>
      <c r="G46" t="inlineStr">
        <is>
          <t>Doha</t>
        </is>
      </c>
      <c r="H46" t="inlineStr">
        <is>
          <t>QA</t>
        </is>
      </c>
      <c r="I46" t="n">
        <v>2</v>
      </c>
      <c r="J46" t="n">
        <v>1</v>
      </c>
      <c r="K46" t="inlineStr">
        <is>
          <t>a</t>
        </is>
      </c>
      <c r="L46" t="inlineStr">
        <is>
          <t>BACKTEST wc 2022</t>
        </is>
      </c>
    </row>
    <row r="47">
      <c r="A47" t="inlineStr">
        <is>
          <t>wc22-h-gha-uru-20221202</t>
        </is>
      </c>
      <c r="B47" t="inlineStr">
        <is>
          <t>FIFA World Cup 2022</t>
        </is>
      </c>
      <c r="C47" t="inlineStr">
        <is>
          <t>Group H</t>
        </is>
      </c>
      <c r="D47" t="inlineStr">
        <is>
          <t>2022-12-02 15:00</t>
        </is>
      </c>
      <c r="E47" t="inlineStr">
        <is>
          <t>Ghana</t>
        </is>
      </c>
      <c r="F47" t="inlineStr">
        <is>
          <t>Uruguay</t>
        </is>
      </c>
      <c r="G47" t="inlineStr">
        <is>
          <t>Al Wakrah</t>
        </is>
      </c>
      <c r="H47" t="inlineStr">
        <is>
          <t>QA</t>
        </is>
      </c>
      <c r="I47" t="n">
        <v>0</v>
      </c>
      <c r="J47" t="n">
        <v>2</v>
      </c>
      <c r="K47" t="inlineStr">
        <is>
          <t>b</t>
        </is>
      </c>
      <c r="L47" t="inlineStr">
        <is>
          <t>BACKTEST wc 2022</t>
        </is>
      </c>
    </row>
    <row r="48">
      <c r="A48" t="inlineStr">
        <is>
          <t>wc22-g-cmr-bra-20221202</t>
        </is>
      </c>
      <c r="B48" t="inlineStr">
        <is>
          <t>FIFA World Cup 2022</t>
        </is>
      </c>
      <c r="C48" t="inlineStr">
        <is>
          <t>Group G</t>
        </is>
      </c>
      <c r="D48" t="inlineStr">
        <is>
          <t>2022-12-02 19:00</t>
        </is>
      </c>
      <c r="E48" t="inlineStr">
        <is>
          <t>Cameroon</t>
        </is>
      </c>
      <c r="F48" t="inlineStr">
        <is>
          <t>Brazil</t>
        </is>
      </c>
      <c r="G48" t="inlineStr">
        <is>
          <t>Lusail</t>
        </is>
      </c>
      <c r="H48" t="inlineStr">
        <is>
          <t>QA</t>
        </is>
      </c>
      <c r="I48" t="n">
        <v>1</v>
      </c>
      <c r="J48" t="n">
        <v>0</v>
      </c>
      <c r="K48" t="inlineStr">
        <is>
          <t>a</t>
        </is>
      </c>
      <c r="L48" t="inlineStr">
        <is>
          <t>BACKTEST wc 2022</t>
        </is>
      </c>
    </row>
    <row r="49">
      <c r="A49" t="inlineStr">
        <is>
          <t>wc22-g-srb-sui-20221202</t>
        </is>
      </c>
      <c r="B49" t="inlineStr">
        <is>
          <t>FIFA World Cup 2022</t>
        </is>
      </c>
      <c r="C49" t="inlineStr">
        <is>
          <t>Group G</t>
        </is>
      </c>
      <c r="D49" t="inlineStr">
        <is>
          <t>2022-12-02 19:00</t>
        </is>
      </c>
      <c r="E49" t="inlineStr">
        <is>
          <t>Serbia</t>
        </is>
      </c>
      <c r="F49" t="inlineStr">
        <is>
          <t>Switzerland</t>
        </is>
      </c>
      <c r="G49" t="inlineStr">
        <is>
          <t>Doha</t>
        </is>
      </c>
      <c r="H49" t="inlineStr">
        <is>
          <t>QA</t>
        </is>
      </c>
      <c r="I49" t="n">
        <v>2</v>
      </c>
      <c r="J49" t="n">
        <v>3</v>
      </c>
      <c r="K49" t="inlineStr">
        <is>
          <t>b</t>
        </is>
      </c>
      <c r="L49" t="inlineStr">
        <is>
          <t>BACKTEST wc 2022</t>
        </is>
      </c>
    </row>
    <row r="50">
      <c r="A50" t="inlineStr">
        <is>
          <t>wc22-r16-ned-usa-20221203</t>
        </is>
      </c>
      <c r="B50" t="inlineStr">
        <is>
          <t>FIFA World Cup 2022</t>
        </is>
      </c>
      <c r="C50" t="inlineStr">
        <is>
          <t>Round of 16</t>
        </is>
      </c>
      <c r="D50" t="inlineStr">
        <is>
          <t>2022-12-03 15:00</t>
        </is>
      </c>
      <c r="E50" t="inlineStr">
        <is>
          <t>Netherlands</t>
        </is>
      </c>
      <c r="F50" t="inlineStr">
        <is>
          <t>USA</t>
        </is>
      </c>
      <c r="G50" t="inlineStr">
        <is>
          <t>Al Rayyan</t>
        </is>
      </c>
      <c r="H50" t="inlineStr">
        <is>
          <t>QA</t>
        </is>
      </c>
      <c r="I50" t="n">
        <v>3</v>
      </c>
      <c r="J50" t="n">
        <v>1</v>
      </c>
      <c r="K50" t="inlineStr">
        <is>
          <t>a</t>
        </is>
      </c>
      <c r="L50" t="inlineStr">
        <is>
          <t>BACKTEST wc 2022</t>
        </is>
      </c>
    </row>
    <row r="51">
      <c r="A51" t="inlineStr">
        <is>
          <t>wc22-r16-arg-aus-20221203</t>
        </is>
      </c>
      <c r="B51" t="inlineStr">
        <is>
          <t>FIFA World Cup 2022</t>
        </is>
      </c>
      <c r="C51" t="inlineStr">
        <is>
          <t>Round of 16</t>
        </is>
      </c>
      <c r="D51" t="inlineStr">
        <is>
          <t>2022-12-03 19:00</t>
        </is>
      </c>
      <c r="E51" t="inlineStr">
        <is>
          <t>Argentina</t>
        </is>
      </c>
      <c r="F51" t="inlineStr">
        <is>
          <t>Australia</t>
        </is>
      </c>
      <c r="G51" t="inlineStr">
        <is>
          <t>Al Rayyan</t>
        </is>
      </c>
      <c r="H51" t="inlineStr">
        <is>
          <t>QA</t>
        </is>
      </c>
      <c r="I51" t="n">
        <v>2</v>
      </c>
      <c r="J51" t="n">
        <v>1</v>
      </c>
      <c r="K51" t="inlineStr">
        <is>
          <t>a</t>
        </is>
      </c>
      <c r="L51" t="inlineStr">
        <is>
          <t>BACKTEST wc 2022</t>
        </is>
      </c>
    </row>
    <row r="52">
      <c r="A52" t="inlineStr">
        <is>
          <t>wc22-r16-fra-pol-20221204</t>
        </is>
      </c>
      <c r="B52" t="inlineStr">
        <is>
          <t>FIFA World Cup 2022</t>
        </is>
      </c>
      <c r="C52" t="inlineStr">
        <is>
          <t>Round of 16</t>
        </is>
      </c>
      <c r="D52" t="inlineStr">
        <is>
          <t>2022-12-04 15:00</t>
        </is>
      </c>
      <c r="E52" t="inlineStr">
        <is>
          <t>France</t>
        </is>
      </c>
      <c r="F52" t="inlineStr">
        <is>
          <t>Poland</t>
        </is>
      </c>
      <c r="G52" t="inlineStr">
        <is>
          <t>Doha</t>
        </is>
      </c>
      <c r="H52" t="inlineStr">
        <is>
          <t>QA</t>
        </is>
      </c>
      <c r="I52" t="n">
        <v>3</v>
      </c>
      <c r="J52" t="n">
        <v>1</v>
      </c>
      <c r="K52" t="inlineStr">
        <is>
          <t>a</t>
        </is>
      </c>
      <c r="L52" t="inlineStr">
        <is>
          <t>BACKTEST wc 2022</t>
        </is>
      </c>
    </row>
    <row r="53">
      <c r="A53" t="inlineStr">
        <is>
          <t>wc22-r16-eng-sen-20221204</t>
        </is>
      </c>
      <c r="B53" t="inlineStr">
        <is>
          <t>FIFA World Cup 2022</t>
        </is>
      </c>
      <c r="C53" t="inlineStr">
        <is>
          <t>Round of 16</t>
        </is>
      </c>
      <c r="D53" t="inlineStr">
        <is>
          <t>2022-12-04 19:00</t>
        </is>
      </c>
      <c r="E53" t="inlineStr">
        <is>
          <t>England</t>
        </is>
      </c>
      <c r="F53" t="inlineStr">
        <is>
          <t>Senegal</t>
        </is>
      </c>
      <c r="G53" t="inlineStr">
        <is>
          <t>Al Khor</t>
        </is>
      </c>
      <c r="H53" t="inlineStr">
        <is>
          <t>QA</t>
        </is>
      </c>
      <c r="I53" t="n">
        <v>3</v>
      </c>
      <c r="J53" t="n">
        <v>0</v>
      </c>
      <c r="K53" t="inlineStr">
        <is>
          <t>a</t>
        </is>
      </c>
      <c r="L53" t="inlineStr">
        <is>
          <t>BACKTEST wc 2022</t>
        </is>
      </c>
    </row>
    <row r="54">
      <c r="A54" t="inlineStr">
        <is>
          <t>wc22-r16-jpn-cro-20221205</t>
        </is>
      </c>
      <c r="B54" t="inlineStr">
        <is>
          <t>FIFA World Cup 2022</t>
        </is>
      </c>
      <c r="C54" t="inlineStr">
        <is>
          <t>Round of 16</t>
        </is>
      </c>
      <c r="D54" t="inlineStr">
        <is>
          <t>2022-12-05 15:00</t>
        </is>
      </c>
      <c r="E54" t="inlineStr">
        <is>
          <t>Japan</t>
        </is>
      </c>
      <c r="F54" t="inlineStr">
        <is>
          <t>Croatia</t>
        </is>
      </c>
      <c r="G54" t="inlineStr">
        <is>
          <t>Al Wakrah</t>
        </is>
      </c>
      <c r="H54" t="inlineStr">
        <is>
          <t>QA</t>
        </is>
      </c>
      <c r="I54" t="n">
        <v>1</v>
      </c>
      <c r="J54" t="n">
        <v>1</v>
      </c>
      <c r="K54" t="inlineStr">
        <is>
          <t>draw</t>
        </is>
      </c>
      <c r="L54" t="inlineStr">
        <is>
          <t>BACKTEST wc 2022</t>
        </is>
      </c>
    </row>
    <row r="55">
      <c r="A55" t="inlineStr">
        <is>
          <t>wc22-r16-bra-kor-20221205</t>
        </is>
      </c>
      <c r="B55" t="inlineStr">
        <is>
          <t>FIFA World Cup 2022</t>
        </is>
      </c>
      <c r="C55" t="inlineStr">
        <is>
          <t>Round of 16</t>
        </is>
      </c>
      <c r="D55" t="inlineStr">
        <is>
          <t>2022-12-05 19:00</t>
        </is>
      </c>
      <c r="E55" t="inlineStr">
        <is>
          <t>Brazil</t>
        </is>
      </c>
      <c r="F55" t="inlineStr">
        <is>
          <t>South Korea</t>
        </is>
      </c>
      <c r="G55" t="inlineStr">
        <is>
          <t>Doha</t>
        </is>
      </c>
      <c r="H55" t="inlineStr">
        <is>
          <t>QA</t>
        </is>
      </c>
      <c r="I55" t="n">
        <v>4</v>
      </c>
      <c r="J55" t="n">
        <v>1</v>
      </c>
      <c r="K55" t="inlineStr">
        <is>
          <t>a</t>
        </is>
      </c>
      <c r="L55" t="inlineStr">
        <is>
          <t>BACKTEST wc 2022</t>
        </is>
      </c>
    </row>
    <row r="56">
      <c r="A56" t="inlineStr">
        <is>
          <t>wc22-r16-mar-esp-20221206</t>
        </is>
      </c>
      <c r="B56" t="inlineStr">
        <is>
          <t>FIFA World Cup 2022</t>
        </is>
      </c>
      <c r="C56" t="inlineStr">
        <is>
          <t>Round of 16</t>
        </is>
      </c>
      <c r="D56" t="inlineStr">
        <is>
          <t>2022-12-06 15:00</t>
        </is>
      </c>
      <c r="E56" t="inlineStr">
        <is>
          <t>Morocco</t>
        </is>
      </c>
      <c r="F56" t="inlineStr">
        <is>
          <t>Spain</t>
        </is>
      </c>
      <c r="G56" t="inlineStr">
        <is>
          <t>Al Rayyan</t>
        </is>
      </c>
      <c r="H56" t="inlineStr">
        <is>
          <t>QA</t>
        </is>
      </c>
      <c r="I56" t="n">
        <v>0</v>
      </c>
      <c r="J56" t="n">
        <v>0</v>
      </c>
      <c r="K56" t="inlineStr">
        <is>
          <t>draw</t>
        </is>
      </c>
      <c r="L56" t="inlineStr">
        <is>
          <t>BACKTEST wc 2022</t>
        </is>
      </c>
    </row>
    <row r="57">
      <c r="A57" t="inlineStr">
        <is>
          <t>wc22-r16-por-sui-20221206</t>
        </is>
      </c>
      <c r="B57" t="inlineStr">
        <is>
          <t>FIFA World Cup 2022</t>
        </is>
      </c>
      <c r="C57" t="inlineStr">
        <is>
          <t>Round of 16</t>
        </is>
      </c>
      <c r="D57" t="inlineStr">
        <is>
          <t>2022-12-06 19:00</t>
        </is>
      </c>
      <c r="E57" t="inlineStr">
        <is>
          <t>Portugal</t>
        </is>
      </c>
      <c r="F57" t="inlineStr">
        <is>
          <t>Switzerland</t>
        </is>
      </c>
      <c r="G57" t="inlineStr">
        <is>
          <t>Lusail</t>
        </is>
      </c>
      <c r="H57" t="inlineStr">
        <is>
          <t>QA</t>
        </is>
      </c>
      <c r="I57" t="n">
        <v>6</v>
      </c>
      <c r="J57" t="n">
        <v>1</v>
      </c>
      <c r="K57" t="inlineStr">
        <is>
          <t>a</t>
        </is>
      </c>
      <c r="L57" t="inlineStr">
        <is>
          <t>BACKTEST wc 2022</t>
        </is>
      </c>
    </row>
    <row r="58">
      <c r="A58" t="inlineStr">
        <is>
          <t>wc22-qf-cro-bra-20221209</t>
        </is>
      </c>
      <c r="B58" t="inlineStr">
        <is>
          <t>FIFA World Cup 2022</t>
        </is>
      </c>
      <c r="C58" t="inlineStr">
        <is>
          <t>Quarter-final</t>
        </is>
      </c>
      <c r="D58" t="inlineStr">
        <is>
          <t>2022-12-09 15:00</t>
        </is>
      </c>
      <c r="E58" t="inlineStr">
        <is>
          <t>Croatia</t>
        </is>
      </c>
      <c r="F58" t="inlineStr">
        <is>
          <t>Brazil</t>
        </is>
      </c>
      <c r="G58" t="inlineStr">
        <is>
          <t>Al Rayyan</t>
        </is>
      </c>
      <c r="H58" t="inlineStr">
        <is>
          <t>QA</t>
        </is>
      </c>
      <c r="I58" t="n">
        <v>1</v>
      </c>
      <c r="J58" t="n">
        <v>1</v>
      </c>
      <c r="K58" t="inlineStr">
        <is>
          <t>draw</t>
        </is>
      </c>
      <c r="L58" t="inlineStr">
        <is>
          <t>BACKTEST wc 2022</t>
        </is>
      </c>
    </row>
    <row r="59">
      <c r="A59" t="inlineStr">
        <is>
          <t>wc22-qf-ned-arg-20221209</t>
        </is>
      </c>
      <c r="B59" t="inlineStr">
        <is>
          <t>FIFA World Cup 2022</t>
        </is>
      </c>
      <c r="C59" t="inlineStr">
        <is>
          <t>Quarter-final</t>
        </is>
      </c>
      <c r="D59" t="inlineStr">
        <is>
          <t>2022-12-09 19:00</t>
        </is>
      </c>
      <c r="E59" t="inlineStr">
        <is>
          <t>Netherlands</t>
        </is>
      </c>
      <c r="F59" t="inlineStr">
        <is>
          <t>Argentina</t>
        </is>
      </c>
      <c r="G59" t="inlineStr">
        <is>
          <t>Lusail</t>
        </is>
      </c>
      <c r="H59" t="inlineStr">
        <is>
          <t>QA</t>
        </is>
      </c>
      <c r="I59" t="n">
        <v>2</v>
      </c>
      <c r="J59" t="n">
        <v>2</v>
      </c>
      <c r="K59" t="inlineStr">
        <is>
          <t>draw</t>
        </is>
      </c>
      <c r="L59" t="inlineStr">
        <is>
          <t>BACKTEST wc 2022</t>
        </is>
      </c>
    </row>
    <row r="60">
      <c r="A60" t="inlineStr">
        <is>
          <t>wc22-qf-mar-por-20221210</t>
        </is>
      </c>
      <c r="B60" t="inlineStr">
        <is>
          <t>FIFA World Cup 2022</t>
        </is>
      </c>
      <c r="C60" t="inlineStr">
        <is>
          <t>Quarter-final</t>
        </is>
      </c>
      <c r="D60" t="inlineStr">
        <is>
          <t>2022-12-10 15:00</t>
        </is>
      </c>
      <c r="E60" t="inlineStr">
        <is>
          <t>Morocco</t>
        </is>
      </c>
      <c r="F60" t="inlineStr">
        <is>
          <t>Portugal</t>
        </is>
      </c>
      <c r="G60" t="inlineStr">
        <is>
          <t>Doha</t>
        </is>
      </c>
      <c r="H60" t="inlineStr">
        <is>
          <t>QA</t>
        </is>
      </c>
      <c r="I60" t="n">
        <v>1</v>
      </c>
      <c r="J60" t="n">
        <v>0</v>
      </c>
      <c r="K60" t="inlineStr">
        <is>
          <t>a</t>
        </is>
      </c>
      <c r="L60" t="inlineStr">
        <is>
          <t>BACKTEST wc 2022</t>
        </is>
      </c>
    </row>
    <row r="61">
      <c r="A61" t="inlineStr">
        <is>
          <t>wc22-qf-eng-fra-20221210</t>
        </is>
      </c>
      <c r="B61" t="inlineStr">
        <is>
          <t>FIFA World Cup 2022</t>
        </is>
      </c>
      <c r="C61" t="inlineStr">
        <is>
          <t>Quarter-final</t>
        </is>
      </c>
      <c r="D61" t="inlineStr">
        <is>
          <t>2022-12-10 19:00</t>
        </is>
      </c>
      <c r="E61" t="inlineStr">
        <is>
          <t>England</t>
        </is>
      </c>
      <c r="F61" t="inlineStr">
        <is>
          <t>France</t>
        </is>
      </c>
      <c r="G61" t="inlineStr">
        <is>
          <t>Al Khor</t>
        </is>
      </c>
      <c r="H61" t="inlineStr">
        <is>
          <t>QA</t>
        </is>
      </c>
      <c r="I61" t="n">
        <v>1</v>
      </c>
      <c r="J61" t="n">
        <v>2</v>
      </c>
      <c r="K61" t="inlineStr">
        <is>
          <t>b</t>
        </is>
      </c>
      <c r="L61" t="inlineStr">
        <is>
          <t>BACKTEST wc 2022</t>
        </is>
      </c>
    </row>
    <row r="62">
      <c r="A62" t="inlineStr">
        <is>
          <t>wc22-sf-arg-cro-20221213</t>
        </is>
      </c>
      <c r="B62" t="inlineStr">
        <is>
          <t>FIFA World Cup 2022</t>
        </is>
      </c>
      <c r="C62" t="inlineStr">
        <is>
          <t>Semi-final</t>
        </is>
      </c>
      <c r="D62" t="inlineStr">
        <is>
          <t>2022-12-13 19:00</t>
        </is>
      </c>
      <c r="E62" t="inlineStr">
        <is>
          <t>Argentina</t>
        </is>
      </c>
      <c r="F62" t="inlineStr">
        <is>
          <t>Croatia</t>
        </is>
      </c>
      <c r="G62" t="inlineStr">
        <is>
          <t>Lusail</t>
        </is>
      </c>
      <c r="H62" t="inlineStr">
        <is>
          <t>QA</t>
        </is>
      </c>
      <c r="I62" t="n">
        <v>3</v>
      </c>
      <c r="J62" t="n">
        <v>0</v>
      </c>
      <c r="K62" t="inlineStr">
        <is>
          <t>a</t>
        </is>
      </c>
      <c r="L62" t="inlineStr">
        <is>
          <t>BACKTEST wc 2022</t>
        </is>
      </c>
    </row>
    <row r="63">
      <c r="A63" t="inlineStr">
        <is>
          <t>wc22-sf-fra-mar-20221214</t>
        </is>
      </c>
      <c r="B63" t="inlineStr">
        <is>
          <t>FIFA World Cup 2022</t>
        </is>
      </c>
      <c r="C63" t="inlineStr">
        <is>
          <t>Semi-final</t>
        </is>
      </c>
      <c r="D63" t="inlineStr">
        <is>
          <t>2022-12-14 19:00</t>
        </is>
      </c>
      <c r="E63" t="inlineStr">
        <is>
          <t>France</t>
        </is>
      </c>
      <c r="F63" t="inlineStr">
        <is>
          <t>Morocco</t>
        </is>
      </c>
      <c r="G63" t="inlineStr">
        <is>
          <t>Al Khor</t>
        </is>
      </c>
      <c r="H63" t="inlineStr">
        <is>
          <t>QA</t>
        </is>
      </c>
      <c r="I63" t="n">
        <v>2</v>
      </c>
      <c r="J63" t="n">
        <v>0</v>
      </c>
      <c r="K63" t="inlineStr">
        <is>
          <t>a</t>
        </is>
      </c>
      <c r="L63" t="inlineStr">
        <is>
          <t>BACKTEST wc 2022</t>
        </is>
      </c>
    </row>
    <row r="64">
      <c r="A64" t="inlineStr">
        <is>
          <t>wc22-3rd-cro-mar-20221217</t>
        </is>
      </c>
      <c r="B64" t="inlineStr">
        <is>
          <t>FIFA World Cup 2022</t>
        </is>
      </c>
      <c r="C64" t="inlineStr">
        <is>
          <t>Third-place</t>
        </is>
      </c>
      <c r="D64" t="inlineStr">
        <is>
          <t>2022-12-17 15:00</t>
        </is>
      </c>
      <c r="E64" t="inlineStr">
        <is>
          <t>Croatia</t>
        </is>
      </c>
      <c r="F64" t="inlineStr">
        <is>
          <t>Morocco</t>
        </is>
      </c>
      <c r="G64" t="inlineStr">
        <is>
          <t>Doha</t>
        </is>
      </c>
      <c r="H64" t="inlineStr">
        <is>
          <t>QA</t>
        </is>
      </c>
      <c r="I64" t="n">
        <v>2</v>
      </c>
      <c r="J64" t="n">
        <v>1</v>
      </c>
      <c r="K64" t="inlineStr">
        <is>
          <t>a</t>
        </is>
      </c>
      <c r="L64" t="inlineStr">
        <is>
          <t>BACKTEST wc 2022</t>
        </is>
      </c>
    </row>
    <row r="65">
      <c r="A65" t="inlineStr">
        <is>
          <t>wc22-fin-arg-fra-20221218</t>
        </is>
      </c>
      <c r="B65" t="inlineStr">
        <is>
          <t>FIFA World Cup 2022</t>
        </is>
      </c>
      <c r="C65" t="inlineStr">
        <is>
          <t>Final</t>
        </is>
      </c>
      <c r="D65" t="inlineStr">
        <is>
          <t>2022-12-18 15:00</t>
        </is>
      </c>
      <c r="E65" t="inlineStr">
        <is>
          <t>Argentina</t>
        </is>
      </c>
      <c r="F65" t="inlineStr">
        <is>
          <t>France</t>
        </is>
      </c>
      <c r="G65" t="inlineStr">
        <is>
          <t>Lusail</t>
        </is>
      </c>
      <c r="H65" t="inlineStr">
        <is>
          <t>QA</t>
        </is>
      </c>
      <c r="I65" t="n">
        <v>3</v>
      </c>
      <c r="J65" t="n">
        <v>3</v>
      </c>
      <c r="K65" t="inlineStr">
        <is>
          <t>draw</t>
        </is>
      </c>
      <c r="L65" t="inlineStr">
        <is>
          <t>BACKTEST wc 2022</t>
        </is>
      </c>
    </row>
  </sheetData>
  <mergeCells count="1">
    <mergeCell ref="A16:L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X2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2" customWidth="1" style="34" min="1" max="1"/>
    <col width="7" customWidth="1" style="34" min="2" max="4"/>
    <col width="9" customWidth="1" style="34" min="5" max="6"/>
    <col width="11" customWidth="1" style="34" min="7" max="8"/>
    <col width="7" customWidth="1" style="34" min="9" max="9"/>
    <col width="8" customWidth="1" style="34" min="10" max="10"/>
    <col width="7" customWidth="1" style="34" min="11" max="11"/>
    <col width="9" customWidth="1" style="34" min="12" max="12"/>
    <col width="11" customWidth="1" style="34" min="13" max="13"/>
    <col width="9" customWidth="1" style="34" min="14" max="17"/>
    <col width="12" customWidth="1" style="34" min="18" max="18"/>
    <col width="14" customWidth="1" style="34" min="19" max="19"/>
    <col width="13" customWidth="1" style="34" min="20" max="20"/>
    <col width="11" customWidth="1" style="34" min="21" max="21"/>
    <col width="10" customWidth="1" style="34" min="22" max="22"/>
    <col width="14" customWidth="1" style="34" min="23" max="23"/>
    <col width="11" customWidth="1" style="34" min="24" max="24"/>
  </cols>
  <sheetData>
    <row r="1" ht="15" customHeight="1" s="35">
      <c r="A1" s="41" t="inlineStr">
        <is>
          <t>match_id</t>
        </is>
      </c>
      <c r="B1" s="41" t="inlineStr">
        <is>
          <t>window</t>
        </is>
      </c>
      <c r="C1" s="41" t="inlineStr">
        <is>
          <t>elo_a</t>
        </is>
      </c>
      <c r="D1" s="41" t="inlineStr">
        <is>
          <t>elo_b</t>
        </is>
      </c>
      <c r="E1" s="41" t="inlineStr">
        <is>
          <t>host_bonus</t>
        </is>
      </c>
      <c r="F1" s="41" t="inlineStr">
        <is>
          <t>altitude_m</t>
        </is>
      </c>
      <c r="G1" s="41" t="inlineStr">
        <is>
          <t>weather_factor</t>
        </is>
      </c>
      <c r="H1" s="41" t="inlineStr">
        <is>
          <t>injury_factor</t>
        </is>
      </c>
      <c r="I1" s="41" t="inlineStr">
        <is>
          <t>p_a</t>
        </is>
      </c>
      <c r="J1" s="41" t="inlineStr">
        <is>
          <t>p_draw</t>
        </is>
      </c>
      <c r="K1" s="41" t="inlineStr">
        <is>
          <t>p_b</t>
        </is>
      </c>
      <c r="L1" s="41" t="inlineStr">
        <is>
          <t>market_p_a</t>
        </is>
      </c>
      <c r="M1" s="41" t="inlineStr">
        <is>
          <t>market_p_draw</t>
        </is>
      </c>
      <c r="N1" s="41" t="inlineStr">
        <is>
          <t>market_p_b</t>
        </is>
      </c>
      <c r="O1" s="41" t="inlineStr">
        <is>
          <t>actual_a</t>
        </is>
      </c>
      <c r="P1" s="41" t="inlineStr">
        <is>
          <t>actual_draw</t>
        </is>
      </c>
      <c r="Q1" s="41" t="inlineStr">
        <is>
          <t>actual_b</t>
        </is>
      </c>
      <c r="R1" s="41" t="inlineStr">
        <is>
          <t>verdict_state</t>
        </is>
      </c>
      <c r="S1" s="41" t="inlineStr">
        <is>
          <t>verdict_side</t>
        </is>
      </c>
      <c r="T1" s="41" t="inlineStr">
        <is>
          <t>verdict_market_venue</t>
        </is>
      </c>
      <c r="U1" s="41" t="inlineStr">
        <is>
          <t>verdict_edge_pp</t>
        </is>
      </c>
      <c r="V1" s="41" t="inlineStr">
        <is>
          <t>brier_score</t>
        </is>
      </c>
      <c r="W1" s="41" t="inlineStr">
        <is>
          <t>verdict_resolved</t>
        </is>
      </c>
      <c r="X1" s="41" t="inlineStr">
        <is>
          <t>is_example</t>
        </is>
      </c>
    </row>
    <row r="2" ht="15" customHeight="1" s="35">
      <c r="A2" t="inlineStr">
        <is>
          <t>wc22-a-qat-ecu-20221120</t>
        </is>
      </c>
      <c r="B2" t="inlineStr">
        <is>
          <t>T-38</t>
        </is>
      </c>
      <c r="C2" t="n">
        <v>1680</v>
      </c>
      <c r="D2" t="n">
        <v>1820</v>
      </c>
      <c r="E2" t="n">
        <v>75</v>
      </c>
      <c r="F2" t="n">
        <v>12</v>
      </c>
      <c r="G2" t="n">
        <v>1</v>
      </c>
      <c r="H2" t="n">
        <v>1</v>
      </c>
      <c r="I2" t="n">
        <v>0.301167</v>
      </c>
      <c r="J2" t="n">
        <v>0.261</v>
      </c>
      <c r="K2" t="n">
        <v>0.437833</v>
      </c>
      <c r="L2" t="n">
        <v>0.279718</v>
      </c>
      <c r="M2" t="n">
        <v>0.306787</v>
      </c>
      <c r="N2" t="n">
        <v>0.413495</v>
      </c>
      <c r="O2" t="n">
        <v>0</v>
      </c>
      <c r="P2" t="n">
        <v>0</v>
      </c>
      <c r="Q2" t="n">
        <v>0</v>
      </c>
      <c r="R2" t="inlineStr">
        <is>
          <t>pass</t>
        </is>
      </c>
      <c r="S2" t="inlineStr"/>
      <c r="T2" t="inlineStr"/>
      <c r="V2">
        <f>(I2-O2)^2+(J2-P2)^2+(K2-Q2)^2</f>
        <v/>
      </c>
      <c r="W2">
        <f>IF(B2&lt;&gt;"KO","",IF(R2="pick",IF(VLOOKUP(A2,'Match Universe'!A:K,11,FALSE)=S2,"hit","miss"),IF(R2="pass","n/a","n/a")))</f>
        <v/>
      </c>
      <c r="X2" t="inlineStr">
        <is>
          <t>BACKTEST wc 2022</t>
        </is>
      </c>
    </row>
    <row r="3" ht="15" customHeight="1" s="35">
      <c r="A3" t="inlineStr">
        <is>
          <t>wc22-a-qat-ecu-20221120</t>
        </is>
      </c>
      <c r="B3" t="inlineStr">
        <is>
          <t>T-5</t>
        </is>
      </c>
      <c r="C3" t="n">
        <v>1680</v>
      </c>
      <c r="D3" t="n">
        <v>1820</v>
      </c>
      <c r="E3" t="n">
        <v>75</v>
      </c>
      <c r="F3" t="n">
        <v>12</v>
      </c>
      <c r="G3" t="n">
        <v>1</v>
      </c>
      <c r="H3" t="n">
        <v>1</v>
      </c>
      <c r="I3" t="n">
        <v>0.301167</v>
      </c>
      <c r="J3" t="n">
        <v>0.261</v>
      </c>
      <c r="K3" t="n">
        <v>0.437833</v>
      </c>
      <c r="L3" t="n">
        <v>0.279718</v>
      </c>
      <c r="M3" t="n">
        <v>0.306787</v>
      </c>
      <c r="N3" t="n">
        <v>0.413495</v>
      </c>
      <c r="O3" t="n">
        <v>0</v>
      </c>
      <c r="P3" t="n">
        <v>0</v>
      </c>
      <c r="Q3" t="n">
        <v>0</v>
      </c>
      <c r="R3" t="inlineStr">
        <is>
          <t>pass</t>
        </is>
      </c>
      <c r="S3" t="inlineStr"/>
      <c r="T3" t="inlineStr"/>
      <c r="V3">
        <f>(I3-O3)^2+(J3-P3)^2+(K3-Q3)^2</f>
        <v/>
      </c>
      <c r="W3">
        <f>IF(B3&lt;&gt;"KO","",IF(R3="pick",IF(VLOOKUP(A3,'Match Universe'!A:K,11,FALSE)=S3,"hit","miss"),IF(R3="pass","n/a","n/a")))</f>
        <v/>
      </c>
      <c r="X3" t="inlineStr">
        <is>
          <t>BACKTEST wc 2022</t>
        </is>
      </c>
    </row>
    <row r="4" ht="15" customHeight="1" s="35">
      <c r="A4" t="inlineStr">
        <is>
          <t>wc22-a-qat-ecu-20221120</t>
        </is>
      </c>
      <c r="B4" t="inlineStr">
        <is>
          <t>T-1h</t>
        </is>
      </c>
      <c r="C4" t="n">
        <v>1680</v>
      </c>
      <c r="D4" t="n">
        <v>1820</v>
      </c>
      <c r="E4" t="n">
        <v>75</v>
      </c>
      <c r="F4" t="n">
        <v>12</v>
      </c>
      <c r="G4" t="n">
        <v>1</v>
      </c>
      <c r="H4" t="n">
        <v>1</v>
      </c>
      <c r="I4" t="n">
        <v>0.301167</v>
      </c>
      <c r="J4" t="n">
        <v>0.261</v>
      </c>
      <c r="K4" t="n">
        <v>0.437833</v>
      </c>
      <c r="L4" t="n">
        <v>0.279718</v>
      </c>
      <c r="M4" t="n">
        <v>0.306787</v>
      </c>
      <c r="N4" t="n">
        <v>0.413495</v>
      </c>
      <c r="O4" t="n">
        <v>0</v>
      </c>
      <c r="P4" t="n">
        <v>0</v>
      </c>
      <c r="Q4" t="n">
        <v>0</v>
      </c>
      <c r="R4" t="inlineStr">
        <is>
          <t>pass</t>
        </is>
      </c>
      <c r="S4" t="inlineStr"/>
      <c r="T4" t="inlineStr"/>
      <c r="V4">
        <f>(I4-O4)^2+(J4-P4)^2+(K4-Q4)^2</f>
        <v/>
      </c>
      <c r="W4">
        <f>IF(B4&lt;&gt;"KO","",IF(R4="pick",IF(VLOOKUP(A4,'Match Universe'!A:K,11,FALSE)=S4,"hit","miss"),IF(R4="pass","n/a","n/a")))</f>
        <v/>
      </c>
      <c r="X4" t="inlineStr">
        <is>
          <t>BACKTEST wc 2022</t>
        </is>
      </c>
    </row>
    <row r="5" ht="15" customHeight="1" s="35">
      <c r="A5" t="inlineStr">
        <is>
          <t>wc22-a-qat-ecu-20221120</t>
        </is>
      </c>
      <c r="B5" t="inlineStr">
        <is>
          <t>KO</t>
        </is>
      </c>
      <c r="C5" t="n">
        <v>1680</v>
      </c>
      <c r="D5" t="n">
        <v>1820</v>
      </c>
      <c r="E5" t="n">
        <v>75</v>
      </c>
      <c r="F5" t="n">
        <v>12</v>
      </c>
      <c r="G5" t="n">
        <v>1</v>
      </c>
      <c r="H5" t="n">
        <v>1</v>
      </c>
      <c r="I5" t="n">
        <v>0.301167</v>
      </c>
      <c r="J5" t="n">
        <v>0.261</v>
      </c>
      <c r="K5" t="n">
        <v>0.437833</v>
      </c>
      <c r="L5" t="n">
        <v>0.279718</v>
      </c>
      <c r="M5" t="n">
        <v>0.306787</v>
      </c>
      <c r="N5" t="n">
        <v>0.413495</v>
      </c>
      <c r="O5" t="n">
        <v>0</v>
      </c>
      <c r="P5" t="n">
        <v>0</v>
      </c>
      <c r="Q5" t="n">
        <v>1</v>
      </c>
      <c r="R5" t="inlineStr">
        <is>
          <t>pass</t>
        </is>
      </c>
      <c r="S5" t="inlineStr"/>
      <c r="T5" t="inlineStr"/>
      <c r="V5">
        <f>(I5-O5)^2+(J5-P5)^2+(K5-Q5)^2</f>
        <v/>
      </c>
      <c r="W5">
        <f>IF(B5&lt;&gt;"KO","",IF(R5="pick",IF(VLOOKUP(A5,'Match Universe'!A:K,11,FALSE)=S5,"hit","miss"),IF(R5="pass","n/a","n/a")))</f>
        <v/>
      </c>
      <c r="X5" t="inlineStr">
        <is>
          <t>BACKTEST wc 2022</t>
        </is>
      </c>
    </row>
    <row r="6" ht="15" customHeight="1" s="35">
      <c r="A6" t="inlineStr">
        <is>
          <t>wc22-b-eng-irn-20221121</t>
        </is>
      </c>
      <c r="B6" t="inlineStr">
        <is>
          <t>T-38</t>
        </is>
      </c>
      <c r="C6" t="n">
        <v>2020</v>
      </c>
      <c r="D6" t="n">
        <v>1818</v>
      </c>
      <c r="E6" t="n">
        <v>0</v>
      </c>
      <c r="F6" t="n">
        <v>8</v>
      </c>
      <c r="G6" t="n">
        <v>1</v>
      </c>
      <c r="H6" t="n">
        <v>1</v>
      </c>
      <c r="I6" t="n">
        <v>0.625625</v>
      </c>
      <c r="J6" t="n">
        <v>0.1788</v>
      </c>
      <c r="K6" t="n">
        <v>0.195575</v>
      </c>
      <c r="L6" t="n">
        <v>0.700943</v>
      </c>
      <c r="M6" t="n">
        <v>0.196553</v>
      </c>
      <c r="N6" t="n">
        <v>0.102504</v>
      </c>
      <c r="O6" t="n">
        <v>0</v>
      </c>
      <c r="P6" t="n">
        <v>0</v>
      </c>
      <c r="Q6" t="n">
        <v>0</v>
      </c>
      <c r="R6" t="inlineStr">
        <is>
          <t>pass</t>
        </is>
      </c>
      <c r="S6" t="inlineStr"/>
      <c r="T6" t="inlineStr"/>
      <c r="V6">
        <f>(I6-O6)^2+(J6-P6)^2+(K6-Q6)^2</f>
        <v/>
      </c>
      <c r="W6">
        <f>IF(B6&lt;&gt;"KO","",IF(R6="pick",IF(VLOOKUP(A6,'Match Universe'!A:K,11,FALSE)=S6,"hit","miss"),IF(R6="pass","n/a","n/a")))</f>
        <v/>
      </c>
      <c r="X6" t="inlineStr">
        <is>
          <t>BACKTEST wc 2022</t>
        </is>
      </c>
    </row>
    <row r="7" ht="15" customHeight="1" s="35">
      <c r="A7" t="inlineStr">
        <is>
          <t>wc22-b-eng-irn-20221121</t>
        </is>
      </c>
      <c r="B7" t="inlineStr">
        <is>
          <t>T-5</t>
        </is>
      </c>
      <c r="C7" t="n">
        <v>2020</v>
      </c>
      <c r="D7" t="n">
        <v>1818</v>
      </c>
      <c r="E7" t="n">
        <v>0</v>
      </c>
      <c r="F7" t="n">
        <v>8</v>
      </c>
      <c r="G7" t="n">
        <v>1</v>
      </c>
      <c r="H7" t="n">
        <v>1</v>
      </c>
      <c r="I7" t="n">
        <v>0.625625</v>
      </c>
      <c r="J7" t="n">
        <v>0.1788</v>
      </c>
      <c r="K7" t="n">
        <v>0.195575</v>
      </c>
      <c r="L7" t="n">
        <v>0.700943</v>
      </c>
      <c r="M7" t="n">
        <v>0.196553</v>
      </c>
      <c r="N7" t="n">
        <v>0.102504</v>
      </c>
      <c r="O7" t="n">
        <v>0</v>
      </c>
      <c r="P7" t="n">
        <v>0</v>
      </c>
      <c r="Q7" t="n">
        <v>0</v>
      </c>
      <c r="R7" t="inlineStr">
        <is>
          <t>pass</t>
        </is>
      </c>
      <c r="S7" t="inlineStr"/>
      <c r="T7" t="inlineStr"/>
      <c r="V7">
        <f>(I7-O7)^2+(J7-P7)^2+(K7-Q7)^2</f>
        <v/>
      </c>
      <c r="W7">
        <f>IF(B7&lt;&gt;"KO","",IF(R7="pick",IF(VLOOKUP(A7,'Match Universe'!A:K,11,FALSE)=S7,"hit","miss"),IF(R7="pass","n/a","n/a")))</f>
        <v/>
      </c>
      <c r="X7" t="inlineStr">
        <is>
          <t>BACKTEST wc 2022</t>
        </is>
      </c>
    </row>
    <row r="8" ht="15" customHeight="1" s="35">
      <c r="A8" t="inlineStr">
        <is>
          <t>wc22-b-eng-irn-20221121</t>
        </is>
      </c>
      <c r="B8" t="inlineStr">
        <is>
          <t>T-1h</t>
        </is>
      </c>
      <c r="C8" t="n">
        <v>2020</v>
      </c>
      <c r="D8" t="n">
        <v>1818</v>
      </c>
      <c r="E8" t="n">
        <v>0</v>
      </c>
      <c r="F8" t="n">
        <v>8</v>
      </c>
      <c r="G8" t="n">
        <v>1</v>
      </c>
      <c r="H8" t="n">
        <v>1</v>
      </c>
      <c r="I8" t="n">
        <v>0.625625</v>
      </c>
      <c r="J8" t="n">
        <v>0.1788</v>
      </c>
      <c r="K8" t="n">
        <v>0.195575</v>
      </c>
      <c r="L8" t="n">
        <v>0.700943</v>
      </c>
      <c r="M8" t="n">
        <v>0.196553</v>
      </c>
      <c r="N8" t="n">
        <v>0.102504</v>
      </c>
      <c r="O8" t="n">
        <v>0</v>
      </c>
      <c r="P8" t="n">
        <v>0</v>
      </c>
      <c r="Q8" t="n">
        <v>0</v>
      </c>
      <c r="R8" t="inlineStr">
        <is>
          <t>pass</t>
        </is>
      </c>
      <c r="S8" t="inlineStr"/>
      <c r="T8" t="inlineStr"/>
      <c r="V8">
        <f>(I8-O8)^2+(J8-P8)^2+(K8-Q8)^2</f>
        <v/>
      </c>
      <c r="W8">
        <f>IF(B8&lt;&gt;"KO","",IF(R8="pick",IF(VLOOKUP(A8,'Match Universe'!A:K,11,FALSE)=S8,"hit","miss"),IF(R8="pass","n/a","n/a")))</f>
        <v/>
      </c>
      <c r="X8" t="inlineStr">
        <is>
          <t>BACKTEST wc 2022</t>
        </is>
      </c>
    </row>
    <row r="9" ht="15" customHeight="1" s="35">
      <c r="A9" t="inlineStr">
        <is>
          <t>wc22-b-eng-irn-20221121</t>
        </is>
      </c>
      <c r="B9" t="inlineStr">
        <is>
          <t>KO</t>
        </is>
      </c>
      <c r="C9" t="n">
        <v>2020</v>
      </c>
      <c r="D9" t="n">
        <v>1818</v>
      </c>
      <c r="E9" t="n">
        <v>0</v>
      </c>
      <c r="F9" t="n">
        <v>8</v>
      </c>
      <c r="G9" t="n">
        <v>1</v>
      </c>
      <c r="H9" t="n">
        <v>1</v>
      </c>
      <c r="I9" t="n">
        <v>0.625625</v>
      </c>
      <c r="J9" t="n">
        <v>0.1788</v>
      </c>
      <c r="K9" t="n">
        <v>0.195575</v>
      </c>
      <c r="L9" t="n">
        <v>0.700943</v>
      </c>
      <c r="M9" t="n">
        <v>0.196553</v>
      </c>
      <c r="N9" t="n">
        <v>0.102504</v>
      </c>
      <c r="O9" t="n">
        <v>1</v>
      </c>
      <c r="P9" t="n">
        <v>0</v>
      </c>
      <c r="Q9" t="n">
        <v>0</v>
      </c>
      <c r="R9" t="inlineStr">
        <is>
          <t>pass</t>
        </is>
      </c>
      <c r="S9" t="inlineStr"/>
      <c r="T9" t="inlineStr"/>
      <c r="V9">
        <f>(I9-O9)^2+(J9-P9)^2+(K9-Q9)^2</f>
        <v/>
      </c>
      <c r="W9">
        <f>IF(B9&lt;&gt;"KO","",IF(R9="pick",IF(VLOOKUP(A9,'Match Universe'!A:K,11,FALSE)=S9,"hit","miss"),IF(R9="pass","n/a","n/a")))</f>
        <v/>
      </c>
      <c r="X9" t="inlineStr">
        <is>
          <t>BACKTEST wc 2022</t>
        </is>
      </c>
    </row>
    <row r="10" ht="15" customHeight="1" s="35">
      <c r="A10" t="inlineStr">
        <is>
          <t>wc22-a-sen-ned-20221121</t>
        </is>
      </c>
      <c r="B10" t="inlineStr">
        <is>
          <t>T-38</t>
        </is>
      </c>
      <c r="C10" t="n">
        <v>1858</v>
      </c>
      <c r="D10" t="n">
        <v>2040</v>
      </c>
      <c r="E10" t="n">
        <v>0</v>
      </c>
      <c r="F10" t="n">
        <v>2</v>
      </c>
      <c r="G10" t="n">
        <v>1</v>
      </c>
      <c r="H10" t="n">
        <v>1</v>
      </c>
      <c r="I10" t="n">
        <v>0.210126</v>
      </c>
      <c r="J10" t="n">
        <v>0.1908</v>
      </c>
      <c r="K10" t="n">
        <v>0.599074</v>
      </c>
      <c r="L10" t="n">
        <v>0.271396</v>
      </c>
      <c r="M10" t="n">
        <v>0.296839</v>
      </c>
      <c r="N10" t="n">
        <v>0.431766</v>
      </c>
      <c r="O10" t="n">
        <v>0</v>
      </c>
      <c r="P10" t="n">
        <v>0</v>
      </c>
      <c r="Q10" t="n">
        <v>0</v>
      </c>
      <c r="R10" t="inlineStr">
        <is>
          <t>pass</t>
        </is>
      </c>
      <c r="S10" t="inlineStr"/>
      <c r="T10" t="inlineStr"/>
      <c r="V10">
        <f>(I10-O10)^2+(J10-P10)^2+(K10-Q10)^2</f>
        <v/>
      </c>
      <c r="W10">
        <f>IF(B10&lt;&gt;"KO","",IF(R10="pick",IF(VLOOKUP(A10,'Match Universe'!A:K,11,FALSE)=S10,"hit","miss"),IF(R10="pass","n/a","n/a")))</f>
        <v/>
      </c>
      <c r="X10" t="inlineStr">
        <is>
          <t>BACKTEST wc 2022</t>
        </is>
      </c>
    </row>
    <row r="11" ht="15" customHeight="1" s="35">
      <c r="A11" t="inlineStr">
        <is>
          <t>wc22-a-sen-ned-20221121</t>
        </is>
      </c>
      <c r="B11" t="inlineStr">
        <is>
          <t>T-5</t>
        </is>
      </c>
      <c r="C11" t="n">
        <v>1858</v>
      </c>
      <c r="D11" t="n">
        <v>2040</v>
      </c>
      <c r="E11" t="n">
        <v>0</v>
      </c>
      <c r="F11" t="n">
        <v>2</v>
      </c>
      <c r="G11" t="n">
        <v>1</v>
      </c>
      <c r="H11" t="n">
        <v>1</v>
      </c>
      <c r="I11" t="n">
        <v>0.210126</v>
      </c>
      <c r="J11" t="n">
        <v>0.1908</v>
      </c>
      <c r="K11" t="n">
        <v>0.599074</v>
      </c>
      <c r="L11" t="n">
        <v>0.271396</v>
      </c>
      <c r="M11" t="n">
        <v>0.296839</v>
      </c>
      <c r="N11" t="n">
        <v>0.431766</v>
      </c>
      <c r="O11" t="n">
        <v>0</v>
      </c>
      <c r="P11" t="n">
        <v>0</v>
      </c>
      <c r="Q11" t="n">
        <v>0</v>
      </c>
      <c r="R11" t="inlineStr">
        <is>
          <t>pass</t>
        </is>
      </c>
      <c r="S11" t="inlineStr"/>
      <c r="T11" t="inlineStr"/>
      <c r="V11">
        <f>(I11-O11)^2+(J11-P11)^2+(K11-Q11)^2</f>
        <v/>
      </c>
      <c r="W11">
        <f>IF(B11&lt;&gt;"KO","",IF(R11="pick",IF(VLOOKUP(A11,'Match Universe'!A:K,11,FALSE)=S11,"hit","miss"),IF(R11="pass","n/a","n/a")))</f>
        <v/>
      </c>
      <c r="X11" t="inlineStr">
        <is>
          <t>BACKTEST wc 2022</t>
        </is>
      </c>
    </row>
    <row r="12" ht="15" customHeight="1" s="35">
      <c r="A12" t="inlineStr">
        <is>
          <t>wc22-a-sen-ned-20221121</t>
        </is>
      </c>
      <c r="B12" t="inlineStr">
        <is>
          <t>T-1h</t>
        </is>
      </c>
      <c r="C12" t="n">
        <v>1858</v>
      </c>
      <c r="D12" t="n">
        <v>2040</v>
      </c>
      <c r="E12" t="n">
        <v>0</v>
      </c>
      <c r="F12" t="n">
        <v>2</v>
      </c>
      <c r="G12" t="n">
        <v>1</v>
      </c>
      <c r="H12" t="n">
        <v>1</v>
      </c>
      <c r="I12" t="n">
        <v>0.210126</v>
      </c>
      <c r="J12" t="n">
        <v>0.1908</v>
      </c>
      <c r="K12" t="n">
        <v>0.599074</v>
      </c>
      <c r="L12" t="n">
        <v>0.271396</v>
      </c>
      <c r="M12" t="n">
        <v>0.296839</v>
      </c>
      <c r="N12" t="n">
        <v>0.431766</v>
      </c>
      <c r="O12" t="n">
        <v>0</v>
      </c>
      <c r="P12" t="n">
        <v>0</v>
      </c>
      <c r="Q12" t="n">
        <v>0</v>
      </c>
      <c r="R12" t="inlineStr">
        <is>
          <t>pass</t>
        </is>
      </c>
      <c r="S12" t="inlineStr"/>
      <c r="T12" t="inlineStr"/>
      <c r="V12">
        <f>(I12-O12)^2+(J12-P12)^2+(K12-Q12)^2</f>
        <v/>
      </c>
      <c r="W12">
        <f>IF(B12&lt;&gt;"KO","",IF(R12="pick",IF(VLOOKUP(A12,'Match Universe'!A:K,11,FALSE)=S12,"hit","miss"),IF(R12="pass","n/a","n/a")))</f>
        <v/>
      </c>
      <c r="X12" t="inlineStr">
        <is>
          <t>BACKTEST wc 2022</t>
        </is>
      </c>
    </row>
    <row r="13" ht="15" customHeight="1" s="35">
      <c r="A13" t="inlineStr">
        <is>
          <t>wc22-a-sen-ned-20221121</t>
        </is>
      </c>
      <c r="B13" t="inlineStr">
        <is>
          <t>KO</t>
        </is>
      </c>
      <c r="C13" t="n">
        <v>1858</v>
      </c>
      <c r="D13" t="n">
        <v>2040</v>
      </c>
      <c r="E13" t="n">
        <v>0</v>
      </c>
      <c r="F13" t="n">
        <v>2</v>
      </c>
      <c r="G13" t="n">
        <v>1</v>
      </c>
      <c r="H13" t="n">
        <v>1</v>
      </c>
      <c r="I13" t="n">
        <v>0.210126</v>
      </c>
      <c r="J13" t="n">
        <v>0.1908</v>
      </c>
      <c r="K13" t="n">
        <v>0.599074</v>
      </c>
      <c r="L13" t="n">
        <v>0.271396</v>
      </c>
      <c r="M13" t="n">
        <v>0.296839</v>
      </c>
      <c r="N13" t="n">
        <v>0.431766</v>
      </c>
      <c r="O13" t="n">
        <v>0</v>
      </c>
      <c r="P13" t="n">
        <v>0</v>
      </c>
      <c r="Q13" t="n">
        <v>1</v>
      </c>
      <c r="R13" t="inlineStr">
        <is>
          <t>pass</t>
        </is>
      </c>
      <c r="S13" t="inlineStr"/>
      <c r="T13" t="inlineStr"/>
      <c r="V13">
        <f>(I13-O13)^2+(J13-P13)^2+(K13-Q13)^2</f>
        <v/>
      </c>
      <c r="W13">
        <f>IF(B13&lt;&gt;"KO","",IF(R13="pick",IF(VLOOKUP(A13,'Match Universe'!A:K,11,FALSE)=S13,"hit","miss"),IF(R13="pass","n/a","n/a")))</f>
        <v/>
      </c>
      <c r="X13" t="inlineStr">
        <is>
          <t>BACKTEST wc 2022</t>
        </is>
      </c>
    </row>
    <row r="14" ht="15" customHeight="1" s="35">
      <c r="A14" t="inlineStr">
        <is>
          <t>wc22-b-usa-wal-20221121</t>
        </is>
      </c>
      <c r="B14" t="inlineStr">
        <is>
          <t>T-38</t>
        </is>
      </c>
      <c r="C14" t="n">
        <v>1798</v>
      </c>
      <c r="D14" t="n">
        <v>1789</v>
      </c>
      <c r="E14" t="n">
        <v>0</v>
      </c>
      <c r="F14" t="n">
        <v>18</v>
      </c>
      <c r="G14" t="n">
        <v>1</v>
      </c>
      <c r="H14" t="n">
        <v>1</v>
      </c>
      <c r="I14" t="n">
        <v>0.361834</v>
      </c>
      <c r="J14" t="n">
        <v>0.2946</v>
      </c>
      <c r="K14" t="n">
        <v>0.343566</v>
      </c>
      <c r="L14" t="n">
        <v>0.367638</v>
      </c>
      <c r="M14" t="n">
        <v>0.308342</v>
      </c>
      <c r="N14" t="n">
        <v>0.32402</v>
      </c>
      <c r="O14" t="n">
        <v>0</v>
      </c>
      <c r="P14" t="n">
        <v>0</v>
      </c>
      <c r="Q14" t="n">
        <v>0</v>
      </c>
      <c r="R14" t="inlineStr">
        <is>
          <t>pass</t>
        </is>
      </c>
      <c r="S14" t="inlineStr"/>
      <c r="T14" t="inlineStr"/>
      <c r="V14">
        <f>(I14-O14)^2+(J14-P14)^2+(K14-Q14)^2</f>
        <v/>
      </c>
      <c r="W14">
        <f>IF(B14&lt;&gt;"KO","",IF(R14="pick",IF(VLOOKUP(A14,'Match Universe'!A:K,11,FALSE)=S14,"hit","miss"),IF(R14="pass","n/a","n/a")))</f>
        <v/>
      </c>
      <c r="X14" t="inlineStr">
        <is>
          <t>BACKTEST wc 2022</t>
        </is>
      </c>
    </row>
    <row r="15" ht="15" customHeight="1" s="35">
      <c r="A15" t="inlineStr">
        <is>
          <t>wc22-b-usa-wal-20221121</t>
        </is>
      </c>
      <c r="B15" t="inlineStr">
        <is>
          <t>T-5</t>
        </is>
      </c>
      <c r="C15" t="n">
        <v>1798</v>
      </c>
      <c r="D15" t="n">
        <v>1789</v>
      </c>
      <c r="E15" t="n">
        <v>0</v>
      </c>
      <c r="F15" t="n">
        <v>18</v>
      </c>
      <c r="G15" t="n">
        <v>1</v>
      </c>
      <c r="H15" t="n">
        <v>1</v>
      </c>
      <c r="I15" t="n">
        <v>0.361834</v>
      </c>
      <c r="J15" t="n">
        <v>0.2946</v>
      </c>
      <c r="K15" t="n">
        <v>0.343566</v>
      </c>
      <c r="L15" t="n">
        <v>0.367638</v>
      </c>
      <c r="M15" t="n">
        <v>0.308342</v>
      </c>
      <c r="N15" t="n">
        <v>0.32402</v>
      </c>
      <c r="O15" t="n">
        <v>0</v>
      </c>
      <c r="P15" t="n">
        <v>0</v>
      </c>
      <c r="Q15" t="n">
        <v>0</v>
      </c>
      <c r="R15" t="inlineStr">
        <is>
          <t>pass</t>
        </is>
      </c>
      <c r="S15" t="inlineStr"/>
      <c r="T15" t="inlineStr"/>
      <c r="V15">
        <f>(I15-O15)^2+(J15-P15)^2+(K15-Q15)^2</f>
        <v/>
      </c>
      <c r="W15">
        <f>IF(B15&lt;&gt;"KO","",IF(R15="pick",IF(VLOOKUP(A15,'Match Universe'!A:K,11,FALSE)=S15,"hit","miss"),IF(R15="pass","n/a","n/a")))</f>
        <v/>
      </c>
      <c r="X15" t="inlineStr">
        <is>
          <t>BACKTEST wc 2022</t>
        </is>
      </c>
    </row>
    <row r="16" ht="15" customHeight="1" s="35">
      <c r="A16" t="inlineStr">
        <is>
          <t>wc22-b-usa-wal-20221121</t>
        </is>
      </c>
      <c r="B16" t="inlineStr">
        <is>
          <t>T-1h</t>
        </is>
      </c>
      <c r="C16" t="n">
        <v>1798</v>
      </c>
      <c r="D16" t="n">
        <v>1789</v>
      </c>
      <c r="E16" t="n">
        <v>0</v>
      </c>
      <c r="F16" t="n">
        <v>18</v>
      </c>
      <c r="G16" t="n">
        <v>1</v>
      </c>
      <c r="H16" t="n">
        <v>1</v>
      </c>
      <c r="I16" t="n">
        <v>0.361834</v>
      </c>
      <c r="J16" t="n">
        <v>0.2946</v>
      </c>
      <c r="K16" t="n">
        <v>0.343566</v>
      </c>
      <c r="L16" t="n">
        <v>0.367638</v>
      </c>
      <c r="M16" t="n">
        <v>0.308342</v>
      </c>
      <c r="N16" t="n">
        <v>0.32402</v>
      </c>
      <c r="O16" t="n">
        <v>0</v>
      </c>
      <c r="P16" t="n">
        <v>0</v>
      </c>
      <c r="Q16" t="n">
        <v>0</v>
      </c>
      <c r="R16" t="inlineStr">
        <is>
          <t>pass</t>
        </is>
      </c>
      <c r="S16" t="inlineStr"/>
      <c r="T16" t="inlineStr"/>
      <c r="V16">
        <f>(I16-O16)^2+(J16-P16)^2+(K16-Q16)^2</f>
        <v/>
      </c>
      <c r="W16">
        <f>IF(B16&lt;&gt;"KO","",IF(R16="pick",IF(VLOOKUP(A16,'Match Universe'!A:K,11,FALSE)=S16,"hit","miss"),IF(R16="pass","n/a","n/a")))</f>
        <v/>
      </c>
      <c r="X16" t="inlineStr">
        <is>
          <t>BACKTEST wc 2022</t>
        </is>
      </c>
    </row>
    <row r="17" ht="15" customHeight="1" s="35">
      <c r="A17" t="inlineStr">
        <is>
          <t>wc22-b-usa-wal-20221121</t>
        </is>
      </c>
      <c r="B17" t="inlineStr">
        <is>
          <t>KO</t>
        </is>
      </c>
      <c r="C17" t="n">
        <v>1798</v>
      </c>
      <c r="D17" t="n">
        <v>1789</v>
      </c>
      <c r="E17" t="n">
        <v>0</v>
      </c>
      <c r="F17" t="n">
        <v>18</v>
      </c>
      <c r="G17" t="n">
        <v>1</v>
      </c>
      <c r="H17" t="n">
        <v>1</v>
      </c>
      <c r="I17" t="n">
        <v>0.361834</v>
      </c>
      <c r="J17" t="n">
        <v>0.2946</v>
      </c>
      <c r="K17" t="n">
        <v>0.343566</v>
      </c>
      <c r="L17" t="n">
        <v>0.367638</v>
      </c>
      <c r="M17" t="n">
        <v>0.308342</v>
      </c>
      <c r="N17" t="n">
        <v>0.32402</v>
      </c>
      <c r="O17" t="n">
        <v>0</v>
      </c>
      <c r="P17" t="n">
        <v>1</v>
      </c>
      <c r="Q17" t="n">
        <v>0</v>
      </c>
      <c r="R17" t="inlineStr">
        <is>
          <t>pass</t>
        </is>
      </c>
      <c r="S17" t="inlineStr"/>
      <c r="T17" t="inlineStr"/>
      <c r="V17">
        <f>(I17-O17)^2+(J17-P17)^2+(K17-Q17)^2</f>
        <v/>
      </c>
      <c r="W17">
        <f>IF(B17&lt;&gt;"KO","",IF(R17="pick",IF(VLOOKUP(A17,'Match Universe'!A:K,11,FALSE)=S17,"hit","miss"),IF(R17="pass","n/a","n/a")))</f>
        <v/>
      </c>
      <c r="X17" t="inlineStr">
        <is>
          <t>BACKTEST wc 2022</t>
        </is>
      </c>
    </row>
    <row r="18" ht="15" customHeight="1" s="35">
      <c r="A18" t="inlineStr">
        <is>
          <t>wc22-c-arg-sau-20221122</t>
        </is>
      </c>
      <c r="B18" t="inlineStr">
        <is>
          <t>T-38</t>
        </is>
      </c>
      <c r="C18" t="n">
        <v>2142</v>
      </c>
      <c r="D18" t="n">
        <v>1635</v>
      </c>
      <c r="E18" t="n">
        <v>0</v>
      </c>
      <c r="F18" t="n">
        <v>8</v>
      </c>
      <c r="G18" t="n">
        <v>1</v>
      </c>
      <c r="H18" t="n">
        <v>1</v>
      </c>
      <c r="I18" t="n">
        <v>0.8538790000000001</v>
      </c>
      <c r="J18" t="n">
        <v>0.1</v>
      </c>
      <c r="K18" t="n">
        <v>0.046121</v>
      </c>
      <c r="L18" t="n">
        <v>0.81555</v>
      </c>
      <c r="M18" t="n">
        <v>0.120294</v>
      </c>
      <c r="N18" t="n">
        <v>0.06415700000000001</v>
      </c>
      <c r="O18" t="n">
        <v>0</v>
      </c>
      <c r="P18" t="n">
        <v>0</v>
      </c>
      <c r="Q18" t="n">
        <v>0</v>
      </c>
      <c r="R18" t="inlineStr">
        <is>
          <t>pass</t>
        </is>
      </c>
      <c r="S18" t="inlineStr"/>
      <c r="T18" t="inlineStr"/>
      <c r="V18">
        <f>(I18-O18)^2+(J18-P18)^2+(K18-Q18)^2</f>
        <v/>
      </c>
      <c r="W18">
        <f>IF(B18&lt;&gt;"KO","",IF(R18="pick",IF(VLOOKUP(A18,'Match Universe'!A:K,11,FALSE)=S18,"hit","miss"),IF(R18="pass","n/a","n/a")))</f>
        <v/>
      </c>
      <c r="X18" t="inlineStr">
        <is>
          <t>BACKTEST wc 2022</t>
        </is>
      </c>
    </row>
    <row r="19" ht="15" customHeight="1" s="35">
      <c r="A19" t="inlineStr">
        <is>
          <t>wc22-c-arg-sau-20221122</t>
        </is>
      </c>
      <c r="B19" t="inlineStr">
        <is>
          <t>T-5</t>
        </is>
      </c>
      <c r="C19" t="n">
        <v>2142</v>
      </c>
      <c r="D19" t="n">
        <v>1635</v>
      </c>
      <c r="E19" t="n">
        <v>0</v>
      </c>
      <c r="F19" t="n">
        <v>8</v>
      </c>
      <c r="G19" t="n">
        <v>1</v>
      </c>
      <c r="H19" t="n">
        <v>1</v>
      </c>
      <c r="I19" t="n">
        <v>0.8538790000000001</v>
      </c>
      <c r="J19" t="n">
        <v>0.1</v>
      </c>
      <c r="K19" t="n">
        <v>0.046121</v>
      </c>
      <c r="L19" t="n">
        <v>0.81555</v>
      </c>
      <c r="M19" t="n">
        <v>0.120294</v>
      </c>
      <c r="N19" t="n">
        <v>0.06415700000000001</v>
      </c>
      <c r="O19" t="n">
        <v>0</v>
      </c>
      <c r="P19" t="n">
        <v>0</v>
      </c>
      <c r="Q19" t="n">
        <v>0</v>
      </c>
      <c r="R19" t="inlineStr">
        <is>
          <t>pass</t>
        </is>
      </c>
      <c r="S19" t="inlineStr"/>
      <c r="T19" t="inlineStr"/>
      <c r="V19">
        <f>(I19-O19)^2+(J19-P19)^2+(K19-Q19)^2</f>
        <v/>
      </c>
      <c r="W19">
        <f>IF(B19&lt;&gt;"KO","",IF(R19="pick",IF(VLOOKUP(A19,'Match Universe'!A:K,11,FALSE)=S19,"hit","miss"),IF(R19="pass","n/a","n/a")))</f>
        <v/>
      </c>
      <c r="X19" t="inlineStr">
        <is>
          <t>BACKTEST wc 2022</t>
        </is>
      </c>
    </row>
    <row r="20" ht="15" customHeight="1" s="35">
      <c r="A20" t="inlineStr">
        <is>
          <t>wc22-c-arg-sau-20221122</t>
        </is>
      </c>
      <c r="B20" t="inlineStr">
        <is>
          <t>T-1h</t>
        </is>
      </c>
      <c r="C20" t="n">
        <v>2142</v>
      </c>
      <c r="D20" t="n">
        <v>1635</v>
      </c>
      <c r="E20" t="n">
        <v>0</v>
      </c>
      <c r="F20" t="n">
        <v>8</v>
      </c>
      <c r="G20" t="n">
        <v>1</v>
      </c>
      <c r="H20" t="n">
        <v>1</v>
      </c>
      <c r="I20" t="n">
        <v>0.8538790000000001</v>
      </c>
      <c r="J20" t="n">
        <v>0.1</v>
      </c>
      <c r="K20" t="n">
        <v>0.046121</v>
      </c>
      <c r="L20" t="n">
        <v>0.81555</v>
      </c>
      <c r="M20" t="n">
        <v>0.120294</v>
      </c>
      <c r="N20" t="n">
        <v>0.06415700000000001</v>
      </c>
      <c r="O20" t="n">
        <v>0</v>
      </c>
      <c r="P20" t="n">
        <v>0</v>
      </c>
      <c r="Q20" t="n">
        <v>0</v>
      </c>
      <c r="R20" t="inlineStr">
        <is>
          <t>pass</t>
        </is>
      </c>
      <c r="S20" t="inlineStr"/>
      <c r="T20" t="inlineStr"/>
      <c r="V20">
        <f>(I20-O20)^2+(J20-P20)^2+(K20-Q20)^2</f>
        <v/>
      </c>
      <c r="W20">
        <f>IF(B20&lt;&gt;"KO","",IF(R20="pick",IF(VLOOKUP(A20,'Match Universe'!A:K,11,FALSE)=S20,"hit","miss"),IF(R20="pass","n/a","n/a")))</f>
        <v/>
      </c>
      <c r="X20" t="inlineStr">
        <is>
          <t>BACKTEST wc 2022</t>
        </is>
      </c>
    </row>
    <row r="21" ht="15" customHeight="1" s="35">
      <c r="A21" t="inlineStr">
        <is>
          <t>wc22-c-arg-sau-20221122</t>
        </is>
      </c>
      <c r="B21" t="inlineStr">
        <is>
          <t>KO</t>
        </is>
      </c>
      <c r="C21" t="n">
        <v>2142</v>
      </c>
      <c r="D21" t="n">
        <v>1635</v>
      </c>
      <c r="E21" t="n">
        <v>0</v>
      </c>
      <c r="F21" t="n">
        <v>8</v>
      </c>
      <c r="G21" t="n">
        <v>1</v>
      </c>
      <c r="H21" t="n">
        <v>1</v>
      </c>
      <c r="I21" t="n">
        <v>0.8538790000000001</v>
      </c>
      <c r="J21" t="n">
        <v>0.1</v>
      </c>
      <c r="K21" t="n">
        <v>0.046121</v>
      </c>
      <c r="L21" t="n">
        <v>0.81555</v>
      </c>
      <c r="M21" t="n">
        <v>0.120294</v>
      </c>
      <c r="N21" t="n">
        <v>0.06415700000000001</v>
      </c>
      <c r="O21" t="n">
        <v>0</v>
      </c>
      <c r="P21" t="n">
        <v>0</v>
      </c>
      <c r="Q21" t="n">
        <v>1</v>
      </c>
      <c r="R21" t="inlineStr">
        <is>
          <t>pass</t>
        </is>
      </c>
      <c r="S21" t="inlineStr"/>
      <c r="T21" t="inlineStr"/>
      <c r="V21">
        <f>(I21-O21)^2+(J21-P21)^2+(K21-Q21)^2</f>
        <v/>
      </c>
      <c r="W21">
        <f>IF(B21&lt;&gt;"KO","",IF(R21="pick",IF(VLOOKUP(A21,'Match Universe'!A:K,11,FALSE)=S21,"hit","miss"),IF(R21="pass","n/a","n/a")))</f>
        <v/>
      </c>
      <c r="X21" t="inlineStr">
        <is>
          <t>BACKTEST wc 2022</t>
        </is>
      </c>
    </row>
    <row r="22" ht="15" customHeight="1" s="35">
      <c r="A22" t="inlineStr">
        <is>
          <t>wc22-d-den-tun-20221122</t>
        </is>
      </c>
      <c r="B22" t="inlineStr">
        <is>
          <t>T-38</t>
        </is>
      </c>
      <c r="C22" t="n">
        <v>1915</v>
      </c>
      <c r="D22" t="n">
        <v>1729</v>
      </c>
      <c r="E22" t="n">
        <v>0</v>
      </c>
      <c r="F22" t="n">
        <v>18</v>
      </c>
      <c r="G22" t="n">
        <v>1</v>
      </c>
      <c r="H22" t="n">
        <v>1</v>
      </c>
      <c r="I22" t="n">
        <v>0.604423</v>
      </c>
      <c r="J22" t="n">
        <v>0.1884</v>
      </c>
      <c r="K22" t="n">
        <v>0.207177</v>
      </c>
      <c r="L22" t="n">
        <v>0.575859</v>
      </c>
      <c r="M22" t="n">
        <v>0.26032</v>
      </c>
      <c r="N22" t="n">
        <v>0.163822</v>
      </c>
      <c r="O22" t="n">
        <v>0</v>
      </c>
      <c r="P22" t="n">
        <v>0</v>
      </c>
      <c r="Q22" t="n">
        <v>0</v>
      </c>
      <c r="R22" t="inlineStr">
        <is>
          <t>pass</t>
        </is>
      </c>
      <c r="S22" t="inlineStr"/>
      <c r="T22" t="inlineStr"/>
      <c r="V22">
        <f>(I22-O22)^2+(J22-P22)^2+(K22-Q22)^2</f>
        <v/>
      </c>
      <c r="W22">
        <f>IF(B22&lt;&gt;"KO","",IF(R22="pick",IF(VLOOKUP(A22,'Match Universe'!A:K,11,FALSE)=S22,"hit","miss"),IF(R22="pass","n/a","n/a")))</f>
        <v/>
      </c>
      <c r="X22" t="inlineStr">
        <is>
          <t>BACKTEST wc 2022</t>
        </is>
      </c>
    </row>
    <row r="23" ht="15" customHeight="1" s="35">
      <c r="A23" t="inlineStr">
        <is>
          <t>wc22-d-den-tun-20221122</t>
        </is>
      </c>
      <c r="B23" t="inlineStr">
        <is>
          <t>T-5</t>
        </is>
      </c>
      <c r="C23" t="n">
        <v>1915</v>
      </c>
      <c r="D23" t="n">
        <v>1729</v>
      </c>
      <c r="E23" t="n">
        <v>0</v>
      </c>
      <c r="F23" t="n">
        <v>18</v>
      </c>
      <c r="G23" t="n">
        <v>1</v>
      </c>
      <c r="H23" t="n">
        <v>1</v>
      </c>
      <c r="I23" t="n">
        <v>0.604423</v>
      </c>
      <c r="J23" t="n">
        <v>0.1884</v>
      </c>
      <c r="K23" t="n">
        <v>0.207177</v>
      </c>
      <c r="L23" t="n">
        <v>0.575859</v>
      </c>
      <c r="M23" t="n">
        <v>0.26032</v>
      </c>
      <c r="N23" t="n">
        <v>0.163822</v>
      </c>
      <c r="O23" t="n">
        <v>0</v>
      </c>
      <c r="P23" t="n">
        <v>0</v>
      </c>
      <c r="Q23" t="n">
        <v>0</v>
      </c>
      <c r="R23" t="inlineStr">
        <is>
          <t>pass</t>
        </is>
      </c>
      <c r="S23" t="inlineStr"/>
      <c r="T23" t="inlineStr"/>
      <c r="V23">
        <f>(I23-O23)^2+(J23-P23)^2+(K23-Q23)^2</f>
        <v/>
      </c>
      <c r="W23">
        <f>IF(B23&lt;&gt;"KO","",IF(R23="pick",IF(VLOOKUP(A23,'Match Universe'!A:K,11,FALSE)=S23,"hit","miss"),IF(R23="pass","n/a","n/a")))</f>
        <v/>
      </c>
      <c r="X23" t="inlineStr">
        <is>
          <t>BACKTEST wc 2022</t>
        </is>
      </c>
    </row>
    <row r="24" ht="15" customHeight="1" s="35">
      <c r="A24" t="inlineStr">
        <is>
          <t>wc22-d-den-tun-20221122</t>
        </is>
      </c>
      <c r="B24" t="inlineStr">
        <is>
          <t>T-1h</t>
        </is>
      </c>
      <c r="C24" t="n">
        <v>1915</v>
      </c>
      <c r="D24" t="n">
        <v>1729</v>
      </c>
      <c r="E24" t="n">
        <v>0</v>
      </c>
      <c r="F24" t="n">
        <v>18</v>
      </c>
      <c r="G24" t="n">
        <v>1</v>
      </c>
      <c r="H24" t="n">
        <v>1</v>
      </c>
      <c r="I24" t="n">
        <v>0.604423</v>
      </c>
      <c r="J24" t="n">
        <v>0.1884</v>
      </c>
      <c r="K24" t="n">
        <v>0.207177</v>
      </c>
      <c r="L24" t="n">
        <v>0.575859</v>
      </c>
      <c r="M24" t="n">
        <v>0.26032</v>
      </c>
      <c r="N24" t="n">
        <v>0.163822</v>
      </c>
      <c r="O24" t="n">
        <v>0</v>
      </c>
      <c r="P24" t="n">
        <v>0</v>
      </c>
      <c r="Q24" t="n">
        <v>0</v>
      </c>
      <c r="R24" t="inlineStr">
        <is>
          <t>pass</t>
        </is>
      </c>
      <c r="S24" t="inlineStr"/>
      <c r="T24" t="inlineStr"/>
      <c r="V24">
        <f>(I24-O24)^2+(J24-P24)^2+(K24-Q24)^2</f>
        <v/>
      </c>
      <c r="W24">
        <f>IF(B24&lt;&gt;"KO","",IF(R24="pick",IF(VLOOKUP(A24,'Match Universe'!A:K,11,FALSE)=S24,"hit","miss"),IF(R24="pass","n/a","n/a")))</f>
        <v/>
      </c>
      <c r="X24" t="inlineStr">
        <is>
          <t>BACKTEST wc 2022</t>
        </is>
      </c>
    </row>
    <row r="25">
      <c r="A25" t="inlineStr">
        <is>
          <t>wc22-d-den-tun-20221122</t>
        </is>
      </c>
      <c r="B25" t="inlineStr">
        <is>
          <t>KO</t>
        </is>
      </c>
      <c r="C25" t="n">
        <v>1915</v>
      </c>
      <c r="D25" t="n">
        <v>1729</v>
      </c>
      <c r="E25" t="n">
        <v>0</v>
      </c>
      <c r="F25" t="n">
        <v>18</v>
      </c>
      <c r="G25" t="n">
        <v>1</v>
      </c>
      <c r="H25" t="n">
        <v>1</v>
      </c>
      <c r="I25" t="n">
        <v>0.604423</v>
      </c>
      <c r="J25" t="n">
        <v>0.1884</v>
      </c>
      <c r="K25" t="n">
        <v>0.207177</v>
      </c>
      <c r="L25" t="n">
        <v>0.575859</v>
      </c>
      <c r="M25" t="n">
        <v>0.26032</v>
      </c>
      <c r="N25" t="n">
        <v>0.163822</v>
      </c>
      <c r="O25" t="n">
        <v>0</v>
      </c>
      <c r="P25" t="n">
        <v>1</v>
      </c>
      <c r="Q25" t="n">
        <v>0</v>
      </c>
      <c r="R25" t="inlineStr">
        <is>
          <t>pass</t>
        </is>
      </c>
      <c r="S25" t="inlineStr"/>
      <c r="T25" t="inlineStr"/>
      <c r="V25">
        <f>(I25-O25)^2+(J25-P25)^2+(K25-Q25)^2</f>
        <v/>
      </c>
      <c r="W25">
        <f>IF(B25&lt;&gt;"KO","",IF(R25="pick",IF(VLOOKUP(A25,'Match Universe'!A:K,11,FALSE)=S25,"hit","miss"),IF(R25="pass","n/a","n/a")))</f>
        <v/>
      </c>
      <c r="X25" t="inlineStr">
        <is>
          <t>BACKTEST wc 2022</t>
        </is>
      </c>
    </row>
    <row r="26" ht="49.5" customHeight="1" s="35">
      <c r="A26" t="inlineStr">
        <is>
          <t>wc22-c-mex-pol-20221122</t>
        </is>
      </c>
      <c r="B26" t="inlineStr">
        <is>
          <t>T-38</t>
        </is>
      </c>
      <c r="C26" t="n">
        <v>1870</v>
      </c>
      <c r="D26" t="n">
        <v>1855</v>
      </c>
      <c r="E26" t="n">
        <v>0</v>
      </c>
      <c r="F26" t="n">
        <v>8</v>
      </c>
      <c r="G26" t="n">
        <v>1</v>
      </c>
      <c r="H26" t="n">
        <v>1</v>
      </c>
      <c r="I26" t="n">
        <v>0.369795</v>
      </c>
      <c r="J26" t="n">
        <v>0.291</v>
      </c>
      <c r="K26" t="n">
        <v>0.339205</v>
      </c>
      <c r="L26" t="n">
        <v>0.376131</v>
      </c>
      <c r="M26" t="n">
        <v>0.309398</v>
      </c>
      <c r="N26" t="n">
        <v>0.31447</v>
      </c>
      <c r="O26" t="n">
        <v>0</v>
      </c>
      <c r="P26" t="n">
        <v>0</v>
      </c>
      <c r="Q26" t="n">
        <v>0</v>
      </c>
      <c r="R26" t="inlineStr">
        <is>
          <t>pass</t>
        </is>
      </c>
      <c r="S26" t="inlineStr"/>
      <c r="T26" t="inlineStr"/>
      <c r="V26">
        <f>(I26-O26)^2+(J26-P26)^2+(K26-Q26)^2</f>
        <v/>
      </c>
      <c r="W26">
        <f>IF(B26&lt;&gt;"KO","",IF(R26="pick",IF(VLOOKUP(A26,'Match Universe'!A:K,11,FALSE)=S26,"hit","miss"),IF(R26="pass","n/a","n/a")))</f>
        <v/>
      </c>
      <c r="X26" t="inlineStr">
        <is>
          <t>BACKTEST wc 2022</t>
        </is>
      </c>
    </row>
    <row r="27">
      <c r="A27" t="inlineStr">
        <is>
          <t>wc22-c-mex-pol-20221122</t>
        </is>
      </c>
      <c r="B27" t="inlineStr">
        <is>
          <t>T-5</t>
        </is>
      </c>
      <c r="C27" t="n">
        <v>1870</v>
      </c>
      <c r="D27" t="n">
        <v>1855</v>
      </c>
      <c r="E27" t="n">
        <v>0</v>
      </c>
      <c r="F27" t="n">
        <v>8</v>
      </c>
      <c r="G27" t="n">
        <v>1</v>
      </c>
      <c r="H27" t="n">
        <v>1</v>
      </c>
      <c r="I27" t="n">
        <v>0.369795</v>
      </c>
      <c r="J27" t="n">
        <v>0.291</v>
      </c>
      <c r="K27" t="n">
        <v>0.339205</v>
      </c>
      <c r="L27" t="n">
        <v>0.376131</v>
      </c>
      <c r="M27" t="n">
        <v>0.309398</v>
      </c>
      <c r="N27" t="n">
        <v>0.31447</v>
      </c>
      <c r="O27" t="n">
        <v>0</v>
      </c>
      <c r="P27" t="n">
        <v>0</v>
      </c>
      <c r="Q27" t="n">
        <v>0</v>
      </c>
      <c r="R27" t="inlineStr">
        <is>
          <t>pass</t>
        </is>
      </c>
      <c r="S27" t="inlineStr"/>
      <c r="T27" t="inlineStr"/>
      <c r="V27">
        <f>(I27-O27)^2+(J27-P27)^2+(K27-Q27)^2</f>
        <v/>
      </c>
      <c r="W27">
        <f>IF(B27&lt;&gt;"KO","",IF(R27="pick",IF(VLOOKUP(A27,'Match Universe'!A:K,11,FALSE)=S27,"hit","miss"),IF(R27="pass","n/a","n/a")))</f>
        <v/>
      </c>
      <c r="X27" t="inlineStr">
        <is>
          <t>BACKTEST wc 2022</t>
        </is>
      </c>
    </row>
    <row r="28">
      <c r="A28" t="inlineStr">
        <is>
          <t>wc22-c-mex-pol-20221122</t>
        </is>
      </c>
      <c r="B28" t="inlineStr">
        <is>
          <t>T-1h</t>
        </is>
      </c>
      <c r="C28" t="n">
        <v>1870</v>
      </c>
      <c r="D28" t="n">
        <v>1855</v>
      </c>
      <c r="E28" t="n">
        <v>0</v>
      </c>
      <c r="F28" t="n">
        <v>8</v>
      </c>
      <c r="G28" t="n">
        <v>1</v>
      </c>
      <c r="H28" t="n">
        <v>1</v>
      </c>
      <c r="I28" t="n">
        <v>0.369795</v>
      </c>
      <c r="J28" t="n">
        <v>0.291</v>
      </c>
      <c r="K28" t="n">
        <v>0.339205</v>
      </c>
      <c r="L28" t="n">
        <v>0.376131</v>
      </c>
      <c r="M28" t="n">
        <v>0.309398</v>
      </c>
      <c r="N28" t="n">
        <v>0.31447</v>
      </c>
      <c r="O28" t="n">
        <v>0</v>
      </c>
      <c r="P28" t="n">
        <v>0</v>
      </c>
      <c r="Q28" t="n">
        <v>0</v>
      </c>
      <c r="R28" t="inlineStr">
        <is>
          <t>pass</t>
        </is>
      </c>
      <c r="S28" t="inlineStr"/>
      <c r="T28" t="inlineStr"/>
      <c r="V28">
        <f>(I28-O28)^2+(J28-P28)^2+(K28-Q28)^2</f>
        <v/>
      </c>
      <c r="W28">
        <f>IF(B28&lt;&gt;"KO","",IF(R28="pick",IF(VLOOKUP(A28,'Match Universe'!A:K,11,FALSE)=S28,"hit","miss"),IF(R28="pass","n/a","n/a")))</f>
        <v/>
      </c>
      <c r="X28" t="inlineStr">
        <is>
          <t>BACKTEST wc 2022</t>
        </is>
      </c>
    </row>
    <row r="29">
      <c r="A29" t="inlineStr">
        <is>
          <t>wc22-c-mex-pol-20221122</t>
        </is>
      </c>
      <c r="B29" t="inlineStr">
        <is>
          <t>KO</t>
        </is>
      </c>
      <c r="C29" t="n">
        <v>1870</v>
      </c>
      <c r="D29" t="n">
        <v>1855</v>
      </c>
      <c r="E29" t="n">
        <v>0</v>
      </c>
      <c r="F29" t="n">
        <v>8</v>
      </c>
      <c r="G29" t="n">
        <v>1</v>
      </c>
      <c r="H29" t="n">
        <v>1</v>
      </c>
      <c r="I29" t="n">
        <v>0.369795</v>
      </c>
      <c r="J29" t="n">
        <v>0.291</v>
      </c>
      <c r="K29" t="n">
        <v>0.339205</v>
      </c>
      <c r="L29" t="n">
        <v>0.376131</v>
      </c>
      <c r="M29" t="n">
        <v>0.309398</v>
      </c>
      <c r="N29" t="n">
        <v>0.31447</v>
      </c>
      <c r="O29" t="n">
        <v>0</v>
      </c>
      <c r="P29" t="n">
        <v>1</v>
      </c>
      <c r="Q29" t="n">
        <v>0</v>
      </c>
      <c r="R29" t="inlineStr">
        <is>
          <t>pass</t>
        </is>
      </c>
      <c r="S29" t="inlineStr"/>
      <c r="T29" t="inlineStr"/>
      <c r="V29">
        <f>(I29-O29)^2+(J29-P29)^2+(K29-Q29)^2</f>
        <v/>
      </c>
      <c r="W29">
        <f>IF(B29&lt;&gt;"KO","",IF(R29="pick",IF(VLOOKUP(A29,'Match Universe'!A:K,11,FALSE)=S29,"hit","miss"),IF(R29="pass","n/a","n/a")))</f>
        <v/>
      </c>
      <c r="X29" t="inlineStr">
        <is>
          <t>BACKTEST wc 2022</t>
        </is>
      </c>
    </row>
    <row r="30">
      <c r="A30" t="inlineStr">
        <is>
          <t>wc22-d-fra-aus-20221122</t>
        </is>
      </c>
      <c r="B30" t="inlineStr">
        <is>
          <t>T-38</t>
        </is>
      </c>
      <c r="C30" t="n">
        <v>2080</v>
      </c>
      <c r="D30" t="n">
        <v>1720</v>
      </c>
      <c r="E30" t="n">
        <v>0</v>
      </c>
      <c r="F30" t="n">
        <v>8</v>
      </c>
      <c r="G30" t="n">
        <v>1</v>
      </c>
      <c r="H30" t="n">
        <v>1</v>
      </c>
      <c r="I30" t="n">
        <v>0.799366</v>
      </c>
      <c r="J30" t="n">
        <v>0.1</v>
      </c>
      <c r="K30" t="n">
        <v>0.100634</v>
      </c>
      <c r="L30" t="n">
        <v>0.700943</v>
      </c>
      <c r="M30" t="n">
        <v>0.196553</v>
      </c>
      <c r="N30" t="n">
        <v>0.102504</v>
      </c>
      <c r="O30" t="n">
        <v>0</v>
      </c>
      <c r="P30" t="n">
        <v>0</v>
      </c>
      <c r="Q30" t="n">
        <v>0</v>
      </c>
      <c r="R30" t="inlineStr">
        <is>
          <t>pass</t>
        </is>
      </c>
      <c r="S30" t="inlineStr"/>
      <c r="T30" t="inlineStr"/>
      <c r="V30">
        <f>(I30-O30)^2+(J30-P30)^2+(K30-Q30)^2</f>
        <v/>
      </c>
      <c r="W30">
        <f>IF(B30&lt;&gt;"KO","",IF(R30="pick",IF(VLOOKUP(A30,'Match Universe'!A:K,11,FALSE)=S30,"hit","miss"),IF(R30="pass","n/a","n/a")))</f>
        <v/>
      </c>
      <c r="X30" t="inlineStr">
        <is>
          <t>BACKTEST wc 2022</t>
        </is>
      </c>
    </row>
    <row r="31">
      <c r="A31" t="inlineStr">
        <is>
          <t>wc22-d-fra-aus-20221122</t>
        </is>
      </c>
      <c r="B31" t="inlineStr">
        <is>
          <t>T-5</t>
        </is>
      </c>
      <c r="C31" t="n">
        <v>2080</v>
      </c>
      <c r="D31" t="n">
        <v>1720</v>
      </c>
      <c r="E31" t="n">
        <v>0</v>
      </c>
      <c r="F31" t="n">
        <v>8</v>
      </c>
      <c r="G31" t="n">
        <v>1</v>
      </c>
      <c r="H31" t="n">
        <v>1</v>
      </c>
      <c r="I31" t="n">
        <v>0.799366</v>
      </c>
      <c r="J31" t="n">
        <v>0.1</v>
      </c>
      <c r="K31" t="n">
        <v>0.100634</v>
      </c>
      <c r="L31" t="n">
        <v>0.700943</v>
      </c>
      <c r="M31" t="n">
        <v>0.196553</v>
      </c>
      <c r="N31" t="n">
        <v>0.102504</v>
      </c>
      <c r="O31" t="n">
        <v>0</v>
      </c>
      <c r="P31" t="n">
        <v>0</v>
      </c>
      <c r="Q31" t="n">
        <v>0</v>
      </c>
      <c r="R31" t="inlineStr">
        <is>
          <t>pass</t>
        </is>
      </c>
      <c r="S31" t="inlineStr"/>
      <c r="T31" t="inlineStr"/>
      <c r="V31">
        <f>(I31-O31)^2+(J31-P31)^2+(K31-Q31)^2</f>
        <v/>
      </c>
      <c r="W31">
        <f>IF(B31&lt;&gt;"KO","",IF(R31="pick",IF(VLOOKUP(A31,'Match Universe'!A:K,11,FALSE)=S31,"hit","miss"),IF(R31="pass","n/a","n/a")))</f>
        <v/>
      </c>
      <c r="X31" t="inlineStr">
        <is>
          <t>BACKTEST wc 2022</t>
        </is>
      </c>
    </row>
    <row r="32">
      <c r="A32" t="inlineStr">
        <is>
          <t>wc22-d-fra-aus-20221122</t>
        </is>
      </c>
      <c r="B32" t="inlineStr">
        <is>
          <t>T-1h</t>
        </is>
      </c>
      <c r="C32" t="n">
        <v>2080</v>
      </c>
      <c r="D32" t="n">
        <v>1720</v>
      </c>
      <c r="E32" t="n">
        <v>0</v>
      </c>
      <c r="F32" t="n">
        <v>8</v>
      </c>
      <c r="G32" t="n">
        <v>1</v>
      </c>
      <c r="H32" t="n">
        <v>1</v>
      </c>
      <c r="I32" t="n">
        <v>0.799366</v>
      </c>
      <c r="J32" t="n">
        <v>0.1</v>
      </c>
      <c r="K32" t="n">
        <v>0.100634</v>
      </c>
      <c r="L32" t="n">
        <v>0.700943</v>
      </c>
      <c r="M32" t="n">
        <v>0.196553</v>
      </c>
      <c r="N32" t="n">
        <v>0.102504</v>
      </c>
      <c r="O32" t="n">
        <v>0</v>
      </c>
      <c r="P32" t="n">
        <v>0</v>
      </c>
      <c r="Q32" t="n">
        <v>0</v>
      </c>
      <c r="R32" t="inlineStr">
        <is>
          <t>pass</t>
        </is>
      </c>
      <c r="S32" t="inlineStr"/>
      <c r="T32" t="inlineStr"/>
      <c r="V32">
        <f>(I32-O32)^2+(J32-P32)^2+(K32-Q32)^2</f>
        <v/>
      </c>
      <c r="W32">
        <f>IF(B32&lt;&gt;"KO","",IF(R32="pick",IF(VLOOKUP(A32,'Match Universe'!A:K,11,FALSE)=S32,"hit","miss"),IF(R32="pass","n/a","n/a")))</f>
        <v/>
      </c>
      <c r="X32" t="inlineStr">
        <is>
          <t>BACKTEST wc 2022</t>
        </is>
      </c>
    </row>
    <row r="33">
      <c r="A33" t="inlineStr">
        <is>
          <t>wc22-d-fra-aus-20221122</t>
        </is>
      </c>
      <c r="B33" t="inlineStr">
        <is>
          <t>KO</t>
        </is>
      </c>
      <c r="C33" t="n">
        <v>2080</v>
      </c>
      <c r="D33" t="n">
        <v>1720</v>
      </c>
      <c r="E33" t="n">
        <v>0</v>
      </c>
      <c r="F33" t="n">
        <v>8</v>
      </c>
      <c r="G33" t="n">
        <v>1</v>
      </c>
      <c r="H33" t="n">
        <v>1</v>
      </c>
      <c r="I33" t="n">
        <v>0.799366</v>
      </c>
      <c r="J33" t="n">
        <v>0.1</v>
      </c>
      <c r="K33" t="n">
        <v>0.100634</v>
      </c>
      <c r="L33" t="n">
        <v>0.700943</v>
      </c>
      <c r="M33" t="n">
        <v>0.196553</v>
      </c>
      <c r="N33" t="n">
        <v>0.102504</v>
      </c>
      <c r="O33" t="n">
        <v>1</v>
      </c>
      <c r="P33" t="n">
        <v>0</v>
      </c>
      <c r="Q33" t="n">
        <v>0</v>
      </c>
      <c r="R33" t="inlineStr">
        <is>
          <t>pass</t>
        </is>
      </c>
      <c r="S33" t="inlineStr"/>
      <c r="T33" t="inlineStr"/>
      <c r="V33">
        <f>(I33-O33)^2+(J33-P33)^2+(K33-Q33)^2</f>
        <v/>
      </c>
      <c r="W33">
        <f>IF(B33&lt;&gt;"KO","",IF(R33="pick",IF(VLOOKUP(A33,'Match Universe'!A:K,11,FALSE)=S33,"hit","miss"),IF(R33="pass","n/a","n/a")))</f>
        <v/>
      </c>
      <c r="X33" t="inlineStr">
        <is>
          <t>BACKTEST wc 2022</t>
        </is>
      </c>
    </row>
    <row r="34">
      <c r="A34" t="inlineStr">
        <is>
          <t>wc22-f-mar-cro-20221123</t>
        </is>
      </c>
      <c r="B34" t="inlineStr">
        <is>
          <t>T-38</t>
        </is>
      </c>
      <c r="C34" t="n">
        <v>1779</v>
      </c>
      <c r="D34" t="n">
        <v>1920</v>
      </c>
      <c r="E34" t="n">
        <v>0</v>
      </c>
      <c r="F34" t="n">
        <v>12</v>
      </c>
      <c r="G34" t="n">
        <v>1</v>
      </c>
      <c r="H34" t="n">
        <v>1</v>
      </c>
      <c r="I34" t="n">
        <v>0.241293</v>
      </c>
      <c r="J34" t="n">
        <v>0.2154</v>
      </c>
      <c r="K34" t="n">
        <v>0.543307</v>
      </c>
      <c r="L34" t="n">
        <v>0.171075</v>
      </c>
      <c r="M34" t="n">
        <v>0.298002</v>
      </c>
      <c r="N34" t="n">
        <v>0.530923</v>
      </c>
      <c r="O34" t="n">
        <v>0</v>
      </c>
      <c r="P34" t="n">
        <v>0</v>
      </c>
      <c r="Q34" t="n">
        <v>0</v>
      </c>
      <c r="R34" t="inlineStr">
        <is>
          <t>pass</t>
        </is>
      </c>
      <c r="S34" t="inlineStr"/>
      <c r="T34" t="inlineStr"/>
      <c r="V34">
        <f>(I34-O34)^2+(J34-P34)^2+(K34-Q34)^2</f>
        <v/>
      </c>
      <c r="W34">
        <f>IF(B34&lt;&gt;"KO","",IF(R34="pick",IF(VLOOKUP(A34,'Match Universe'!A:K,11,FALSE)=S34,"hit","miss"),IF(R34="pass","n/a","n/a")))</f>
        <v/>
      </c>
      <c r="X34" t="inlineStr">
        <is>
          <t>BACKTEST wc 2022</t>
        </is>
      </c>
    </row>
    <row r="35">
      <c r="A35" t="inlineStr">
        <is>
          <t>wc22-f-mar-cro-20221123</t>
        </is>
      </c>
      <c r="B35" t="inlineStr">
        <is>
          <t>T-5</t>
        </is>
      </c>
      <c r="C35" t="n">
        <v>1779</v>
      </c>
      <c r="D35" t="n">
        <v>1920</v>
      </c>
      <c r="E35" t="n">
        <v>0</v>
      </c>
      <c r="F35" t="n">
        <v>12</v>
      </c>
      <c r="G35" t="n">
        <v>1</v>
      </c>
      <c r="H35" t="n">
        <v>1</v>
      </c>
      <c r="I35" t="n">
        <v>0.241293</v>
      </c>
      <c r="J35" t="n">
        <v>0.2154</v>
      </c>
      <c r="K35" t="n">
        <v>0.543307</v>
      </c>
      <c r="L35" t="n">
        <v>0.171075</v>
      </c>
      <c r="M35" t="n">
        <v>0.298002</v>
      </c>
      <c r="N35" t="n">
        <v>0.530923</v>
      </c>
      <c r="O35" t="n">
        <v>0</v>
      </c>
      <c r="P35" t="n">
        <v>0</v>
      </c>
      <c r="Q35" t="n">
        <v>0</v>
      </c>
      <c r="R35" t="inlineStr">
        <is>
          <t>pass</t>
        </is>
      </c>
      <c r="S35" t="inlineStr"/>
      <c r="T35" t="inlineStr"/>
      <c r="V35">
        <f>(I35-O35)^2+(J35-P35)^2+(K35-Q35)^2</f>
        <v/>
      </c>
      <c r="W35">
        <f>IF(B35&lt;&gt;"KO","",IF(R35="pick",IF(VLOOKUP(A35,'Match Universe'!A:K,11,FALSE)=S35,"hit","miss"),IF(R35="pass","n/a","n/a")))</f>
        <v/>
      </c>
      <c r="X35" t="inlineStr">
        <is>
          <t>BACKTEST wc 2022</t>
        </is>
      </c>
    </row>
    <row r="36">
      <c r="A36" t="inlineStr">
        <is>
          <t>wc22-f-mar-cro-20221123</t>
        </is>
      </c>
      <c r="B36" t="inlineStr">
        <is>
          <t>T-1h</t>
        </is>
      </c>
      <c r="C36" t="n">
        <v>1779</v>
      </c>
      <c r="D36" t="n">
        <v>1920</v>
      </c>
      <c r="E36" t="n">
        <v>0</v>
      </c>
      <c r="F36" t="n">
        <v>12</v>
      </c>
      <c r="G36" t="n">
        <v>1</v>
      </c>
      <c r="H36" t="n">
        <v>1</v>
      </c>
      <c r="I36" t="n">
        <v>0.241293</v>
      </c>
      <c r="J36" t="n">
        <v>0.2154</v>
      </c>
      <c r="K36" t="n">
        <v>0.543307</v>
      </c>
      <c r="L36" t="n">
        <v>0.171075</v>
      </c>
      <c r="M36" t="n">
        <v>0.298002</v>
      </c>
      <c r="N36" t="n">
        <v>0.530923</v>
      </c>
      <c r="O36" t="n">
        <v>0</v>
      </c>
      <c r="P36" t="n">
        <v>0</v>
      </c>
      <c r="Q36" t="n">
        <v>0</v>
      </c>
      <c r="R36" t="inlineStr">
        <is>
          <t>pass</t>
        </is>
      </c>
      <c r="S36" t="inlineStr"/>
      <c r="T36" t="inlineStr"/>
      <c r="V36">
        <f>(I36-O36)^2+(J36-P36)^2+(K36-Q36)^2</f>
        <v/>
      </c>
      <c r="W36">
        <f>IF(B36&lt;&gt;"KO","",IF(R36="pick",IF(VLOOKUP(A36,'Match Universe'!A:K,11,FALSE)=S36,"hit","miss"),IF(R36="pass","n/a","n/a")))</f>
        <v/>
      </c>
      <c r="X36" t="inlineStr">
        <is>
          <t>BACKTEST wc 2022</t>
        </is>
      </c>
    </row>
    <row r="37">
      <c r="A37" t="inlineStr">
        <is>
          <t>wc22-f-mar-cro-20221123</t>
        </is>
      </c>
      <c r="B37" t="inlineStr">
        <is>
          <t>KO</t>
        </is>
      </c>
      <c r="C37" t="n">
        <v>1779</v>
      </c>
      <c r="D37" t="n">
        <v>1920</v>
      </c>
      <c r="E37" t="n">
        <v>0</v>
      </c>
      <c r="F37" t="n">
        <v>12</v>
      </c>
      <c r="G37" t="n">
        <v>1</v>
      </c>
      <c r="H37" t="n">
        <v>1</v>
      </c>
      <c r="I37" t="n">
        <v>0.241293</v>
      </c>
      <c r="J37" t="n">
        <v>0.2154</v>
      </c>
      <c r="K37" t="n">
        <v>0.543307</v>
      </c>
      <c r="L37" t="n">
        <v>0.171075</v>
      </c>
      <c r="M37" t="n">
        <v>0.298002</v>
      </c>
      <c r="N37" t="n">
        <v>0.530923</v>
      </c>
      <c r="O37" t="n">
        <v>0</v>
      </c>
      <c r="P37" t="n">
        <v>1</v>
      </c>
      <c r="Q37" t="n">
        <v>0</v>
      </c>
      <c r="R37" t="inlineStr">
        <is>
          <t>pass</t>
        </is>
      </c>
      <c r="S37" t="inlineStr"/>
      <c r="T37" t="inlineStr"/>
      <c r="V37">
        <f>(I37-O37)^2+(J37-P37)^2+(K37-Q37)^2</f>
        <v/>
      </c>
      <c r="W37">
        <f>IF(B37&lt;&gt;"KO","",IF(R37="pick",IF(VLOOKUP(A37,'Match Universe'!A:K,11,FALSE)=S37,"hit","miss"),IF(R37="pass","n/a","n/a")))</f>
        <v/>
      </c>
      <c r="X37" t="inlineStr">
        <is>
          <t>BACKTEST wc 2022</t>
        </is>
      </c>
    </row>
    <row r="38">
      <c r="A38" t="inlineStr">
        <is>
          <t>wc22-e-ger-jpn-20221123</t>
        </is>
      </c>
      <c r="B38" t="inlineStr">
        <is>
          <t>T-38</t>
        </is>
      </c>
      <c r="C38" t="n">
        <v>1968</v>
      </c>
      <c r="D38" t="n">
        <v>1812</v>
      </c>
      <c r="E38" t="n">
        <v>0</v>
      </c>
      <c r="F38" t="n">
        <v>8</v>
      </c>
      <c r="G38" t="n">
        <v>1</v>
      </c>
      <c r="H38" t="n">
        <v>1</v>
      </c>
      <c r="I38" t="n">
        <v>0.563885</v>
      </c>
      <c r="J38" t="n">
        <v>0.2064</v>
      </c>
      <c r="K38" t="n">
        <v>0.229715</v>
      </c>
      <c r="L38" t="n">
        <v>0.6629350000000001</v>
      </c>
      <c r="M38" t="n">
        <v>0.210666</v>
      </c>
      <c r="N38" t="n">
        <v>0.1264</v>
      </c>
      <c r="O38" t="n">
        <v>0</v>
      </c>
      <c r="P38" t="n">
        <v>0</v>
      </c>
      <c r="Q38" t="n">
        <v>0</v>
      </c>
      <c r="R38" t="inlineStr">
        <is>
          <t>pick</t>
        </is>
      </c>
      <c r="S38" t="inlineStr">
        <is>
          <t>Japan</t>
        </is>
      </c>
      <c r="T38" t="inlineStr">
        <is>
          <t>polymarket</t>
        </is>
      </c>
      <c r="U38" t="n">
        <v>10.33</v>
      </c>
      <c r="V38">
        <f>(I38-O38)^2+(J38-P38)^2+(K38-Q38)^2</f>
        <v/>
      </c>
      <c r="W38">
        <f>IF(B38&lt;&gt;"KO","",IF(R38="pick",IF(VLOOKUP(A38,'Match Universe'!A:K,11,FALSE)=S38,"hit","miss"),IF(R38="pass","n/a","n/a")))</f>
        <v/>
      </c>
      <c r="X38" t="inlineStr">
        <is>
          <t>BACKTEST wc 2022</t>
        </is>
      </c>
    </row>
    <row r="39">
      <c r="A39" t="inlineStr">
        <is>
          <t>wc22-e-ger-jpn-20221123</t>
        </is>
      </c>
      <c r="B39" t="inlineStr">
        <is>
          <t>T-5</t>
        </is>
      </c>
      <c r="C39" t="n">
        <v>1968</v>
      </c>
      <c r="D39" t="n">
        <v>1812</v>
      </c>
      <c r="E39" t="n">
        <v>0</v>
      </c>
      <c r="F39" t="n">
        <v>8</v>
      </c>
      <c r="G39" t="n">
        <v>1</v>
      </c>
      <c r="H39" t="n">
        <v>1</v>
      </c>
      <c r="I39" t="n">
        <v>0.563885</v>
      </c>
      <c r="J39" t="n">
        <v>0.2064</v>
      </c>
      <c r="K39" t="n">
        <v>0.229715</v>
      </c>
      <c r="L39" t="n">
        <v>0.6629350000000001</v>
      </c>
      <c r="M39" t="n">
        <v>0.210666</v>
      </c>
      <c r="N39" t="n">
        <v>0.1264</v>
      </c>
      <c r="O39" t="n">
        <v>0</v>
      </c>
      <c r="P39" t="n">
        <v>0</v>
      </c>
      <c r="Q39" t="n">
        <v>0</v>
      </c>
      <c r="R39" t="inlineStr">
        <is>
          <t>pick</t>
        </is>
      </c>
      <c r="S39" t="inlineStr">
        <is>
          <t>Japan</t>
        </is>
      </c>
      <c r="T39" t="inlineStr">
        <is>
          <t>polymarket</t>
        </is>
      </c>
      <c r="U39" t="n">
        <v>10.33</v>
      </c>
      <c r="V39">
        <f>(I39-O39)^2+(J39-P39)^2+(K39-Q39)^2</f>
        <v/>
      </c>
      <c r="W39">
        <f>IF(B39&lt;&gt;"KO","",IF(R39="pick",IF(VLOOKUP(A39,'Match Universe'!A:K,11,FALSE)=S39,"hit","miss"),IF(R39="pass","n/a","n/a")))</f>
        <v/>
      </c>
      <c r="X39" t="inlineStr">
        <is>
          <t>BACKTEST wc 2022</t>
        </is>
      </c>
    </row>
    <row r="40">
      <c r="A40" t="inlineStr">
        <is>
          <t>wc22-e-ger-jpn-20221123</t>
        </is>
      </c>
      <c r="B40" t="inlineStr">
        <is>
          <t>T-1h</t>
        </is>
      </c>
      <c r="C40" t="n">
        <v>1968</v>
      </c>
      <c r="D40" t="n">
        <v>1812</v>
      </c>
      <c r="E40" t="n">
        <v>0</v>
      </c>
      <c r="F40" t="n">
        <v>8</v>
      </c>
      <c r="G40" t="n">
        <v>1</v>
      </c>
      <c r="H40" t="n">
        <v>1</v>
      </c>
      <c r="I40" t="n">
        <v>0.563885</v>
      </c>
      <c r="J40" t="n">
        <v>0.2064</v>
      </c>
      <c r="K40" t="n">
        <v>0.229715</v>
      </c>
      <c r="L40" t="n">
        <v>0.6629350000000001</v>
      </c>
      <c r="M40" t="n">
        <v>0.210666</v>
      </c>
      <c r="N40" t="n">
        <v>0.1264</v>
      </c>
      <c r="O40" t="n">
        <v>0</v>
      </c>
      <c r="P40" t="n">
        <v>0</v>
      </c>
      <c r="Q40" t="n">
        <v>0</v>
      </c>
      <c r="R40" t="inlineStr">
        <is>
          <t>pick</t>
        </is>
      </c>
      <c r="S40" t="inlineStr">
        <is>
          <t>Japan</t>
        </is>
      </c>
      <c r="T40" t="inlineStr">
        <is>
          <t>polymarket</t>
        </is>
      </c>
      <c r="U40" t="n">
        <v>10.33</v>
      </c>
      <c r="V40">
        <f>(I40-O40)^2+(J40-P40)^2+(K40-Q40)^2</f>
        <v/>
      </c>
      <c r="W40">
        <f>IF(B40&lt;&gt;"KO","",IF(R40="pick",IF(VLOOKUP(A40,'Match Universe'!A:K,11,FALSE)=S40,"hit","miss"),IF(R40="pass","n/a","n/a")))</f>
        <v/>
      </c>
      <c r="X40" t="inlineStr">
        <is>
          <t>BACKTEST wc 2022</t>
        </is>
      </c>
    </row>
    <row r="41">
      <c r="A41" t="inlineStr">
        <is>
          <t>wc22-e-ger-jpn-20221123</t>
        </is>
      </c>
      <c r="B41" t="inlineStr">
        <is>
          <t>KO</t>
        </is>
      </c>
      <c r="C41" t="n">
        <v>1968</v>
      </c>
      <c r="D41" t="n">
        <v>1812</v>
      </c>
      <c r="E41" t="n">
        <v>0</v>
      </c>
      <c r="F41" t="n">
        <v>8</v>
      </c>
      <c r="G41" t="n">
        <v>1</v>
      </c>
      <c r="H41" t="n">
        <v>1</v>
      </c>
      <c r="I41" t="n">
        <v>0.563885</v>
      </c>
      <c r="J41" t="n">
        <v>0.2064</v>
      </c>
      <c r="K41" t="n">
        <v>0.229715</v>
      </c>
      <c r="L41" t="n">
        <v>0.6629350000000001</v>
      </c>
      <c r="M41" t="n">
        <v>0.210666</v>
      </c>
      <c r="N41" t="n">
        <v>0.1264</v>
      </c>
      <c r="O41" t="n">
        <v>0</v>
      </c>
      <c r="P41" t="n">
        <v>0</v>
      </c>
      <c r="Q41" t="n">
        <v>1</v>
      </c>
      <c r="R41" t="inlineStr">
        <is>
          <t>pick</t>
        </is>
      </c>
      <c r="S41" t="inlineStr">
        <is>
          <t>Japan</t>
        </is>
      </c>
      <c r="T41" t="inlineStr">
        <is>
          <t>polymarket</t>
        </is>
      </c>
      <c r="U41" t="n">
        <v>10.33</v>
      </c>
      <c r="V41">
        <f>(I41-O41)^2+(J41-P41)^2+(K41-Q41)^2</f>
        <v/>
      </c>
      <c r="W41">
        <f>IF(B41&lt;&gt;"KO","",IF(R41="pick",IF(VLOOKUP(A41,'Match Universe'!A:K,11,FALSE)=S41,"hit","miss"),IF(R41="pass","n/a","n/a")))</f>
        <v/>
      </c>
      <c r="X41" t="inlineStr">
        <is>
          <t>BACKTEST wc 2022</t>
        </is>
      </c>
    </row>
    <row r="42">
      <c r="A42" t="inlineStr">
        <is>
          <t>wc22-e-esp-crc-20221123</t>
        </is>
      </c>
      <c r="B42" t="inlineStr">
        <is>
          <t>T-38</t>
        </is>
      </c>
      <c r="C42" t="n">
        <v>2048</v>
      </c>
      <c r="D42" t="n">
        <v>1741</v>
      </c>
      <c r="E42" t="n">
        <v>0</v>
      </c>
      <c r="F42" t="n">
        <v>8</v>
      </c>
      <c r="G42" t="n">
        <v>1</v>
      </c>
      <c r="H42" t="n">
        <v>1</v>
      </c>
      <c r="I42" t="n">
        <v>0.755207</v>
      </c>
      <c r="J42" t="n">
        <v>0.1158</v>
      </c>
      <c r="K42" t="n">
        <v>0.128993</v>
      </c>
      <c r="L42" t="n">
        <v>0.852692</v>
      </c>
      <c r="M42" t="n">
        <v>0.101425</v>
      </c>
      <c r="N42" t="n">
        <v>0.045883</v>
      </c>
      <c r="O42" t="n">
        <v>0</v>
      </c>
      <c r="P42" t="n">
        <v>0</v>
      </c>
      <c r="Q42" t="n">
        <v>0</v>
      </c>
      <c r="R42" t="inlineStr">
        <is>
          <t>pick</t>
        </is>
      </c>
      <c r="S42" t="inlineStr">
        <is>
          <t>Costa Rica</t>
        </is>
      </c>
      <c r="T42" t="inlineStr">
        <is>
          <t>polymarket</t>
        </is>
      </c>
      <c r="U42" t="n">
        <v>8.31</v>
      </c>
      <c r="V42">
        <f>(I42-O42)^2+(J42-P42)^2+(K42-Q42)^2</f>
        <v/>
      </c>
      <c r="W42">
        <f>IF(B42&lt;&gt;"KO","",IF(R42="pick",IF(VLOOKUP(A42,'Match Universe'!A:K,11,FALSE)=S42,"hit","miss"),IF(R42="pass","n/a","n/a")))</f>
        <v/>
      </c>
      <c r="X42" t="inlineStr">
        <is>
          <t>BACKTEST wc 2022</t>
        </is>
      </c>
    </row>
    <row r="43">
      <c r="A43" t="inlineStr">
        <is>
          <t>wc22-e-esp-crc-20221123</t>
        </is>
      </c>
      <c r="B43" t="inlineStr">
        <is>
          <t>T-5</t>
        </is>
      </c>
      <c r="C43" t="n">
        <v>2048</v>
      </c>
      <c r="D43" t="n">
        <v>1741</v>
      </c>
      <c r="E43" t="n">
        <v>0</v>
      </c>
      <c r="F43" t="n">
        <v>8</v>
      </c>
      <c r="G43" t="n">
        <v>1</v>
      </c>
      <c r="H43" t="n">
        <v>1</v>
      </c>
      <c r="I43" t="n">
        <v>0.755207</v>
      </c>
      <c r="J43" t="n">
        <v>0.1158</v>
      </c>
      <c r="K43" t="n">
        <v>0.128993</v>
      </c>
      <c r="L43" t="n">
        <v>0.852692</v>
      </c>
      <c r="M43" t="n">
        <v>0.101425</v>
      </c>
      <c r="N43" t="n">
        <v>0.045883</v>
      </c>
      <c r="O43" t="n">
        <v>0</v>
      </c>
      <c r="P43" t="n">
        <v>0</v>
      </c>
      <c r="Q43" t="n">
        <v>0</v>
      </c>
      <c r="R43" t="inlineStr">
        <is>
          <t>pick</t>
        </is>
      </c>
      <c r="S43" t="inlineStr">
        <is>
          <t>Costa Rica</t>
        </is>
      </c>
      <c r="T43" t="inlineStr">
        <is>
          <t>polymarket</t>
        </is>
      </c>
      <c r="U43" t="n">
        <v>8.31</v>
      </c>
      <c r="V43">
        <f>(I43-O43)^2+(J43-P43)^2+(K43-Q43)^2</f>
        <v/>
      </c>
      <c r="W43">
        <f>IF(B43&lt;&gt;"KO","",IF(R43="pick",IF(VLOOKUP(A43,'Match Universe'!A:K,11,FALSE)=S43,"hit","miss"),IF(R43="pass","n/a","n/a")))</f>
        <v/>
      </c>
      <c r="X43" t="inlineStr">
        <is>
          <t>BACKTEST wc 2022</t>
        </is>
      </c>
    </row>
    <row r="44">
      <c r="A44" t="inlineStr">
        <is>
          <t>wc22-e-esp-crc-20221123</t>
        </is>
      </c>
      <c r="B44" t="inlineStr">
        <is>
          <t>T-1h</t>
        </is>
      </c>
      <c r="C44" t="n">
        <v>2048</v>
      </c>
      <c r="D44" t="n">
        <v>1741</v>
      </c>
      <c r="E44" t="n">
        <v>0</v>
      </c>
      <c r="F44" t="n">
        <v>8</v>
      </c>
      <c r="G44" t="n">
        <v>1</v>
      </c>
      <c r="H44" t="n">
        <v>1</v>
      </c>
      <c r="I44" t="n">
        <v>0.755207</v>
      </c>
      <c r="J44" t="n">
        <v>0.1158</v>
      </c>
      <c r="K44" t="n">
        <v>0.128993</v>
      </c>
      <c r="L44" t="n">
        <v>0.852692</v>
      </c>
      <c r="M44" t="n">
        <v>0.101425</v>
      </c>
      <c r="N44" t="n">
        <v>0.045883</v>
      </c>
      <c r="O44" t="n">
        <v>0</v>
      </c>
      <c r="P44" t="n">
        <v>0</v>
      </c>
      <c r="Q44" t="n">
        <v>0</v>
      </c>
      <c r="R44" t="inlineStr">
        <is>
          <t>pick</t>
        </is>
      </c>
      <c r="S44" t="inlineStr">
        <is>
          <t>Costa Rica</t>
        </is>
      </c>
      <c r="T44" t="inlineStr">
        <is>
          <t>polymarket</t>
        </is>
      </c>
      <c r="U44" t="n">
        <v>8.31</v>
      </c>
      <c r="V44">
        <f>(I44-O44)^2+(J44-P44)^2+(K44-Q44)^2</f>
        <v/>
      </c>
      <c r="W44">
        <f>IF(B44&lt;&gt;"KO","",IF(R44="pick",IF(VLOOKUP(A44,'Match Universe'!A:K,11,FALSE)=S44,"hit","miss"),IF(R44="pass","n/a","n/a")))</f>
        <v/>
      </c>
      <c r="X44" t="inlineStr">
        <is>
          <t>BACKTEST wc 2022</t>
        </is>
      </c>
    </row>
    <row r="45">
      <c r="A45" t="inlineStr">
        <is>
          <t>wc22-e-esp-crc-20221123</t>
        </is>
      </c>
      <c r="B45" t="inlineStr">
        <is>
          <t>KO</t>
        </is>
      </c>
      <c r="C45" t="n">
        <v>2048</v>
      </c>
      <c r="D45" t="n">
        <v>1741</v>
      </c>
      <c r="E45" t="n">
        <v>0</v>
      </c>
      <c r="F45" t="n">
        <v>8</v>
      </c>
      <c r="G45" t="n">
        <v>1</v>
      </c>
      <c r="H45" t="n">
        <v>1</v>
      </c>
      <c r="I45" t="n">
        <v>0.755207</v>
      </c>
      <c r="J45" t="n">
        <v>0.1158</v>
      </c>
      <c r="K45" t="n">
        <v>0.128993</v>
      </c>
      <c r="L45" t="n">
        <v>0.852692</v>
      </c>
      <c r="M45" t="n">
        <v>0.101425</v>
      </c>
      <c r="N45" t="n">
        <v>0.045883</v>
      </c>
      <c r="O45" t="n">
        <v>1</v>
      </c>
      <c r="P45" t="n">
        <v>0</v>
      </c>
      <c r="Q45" t="n">
        <v>0</v>
      </c>
      <c r="R45" t="inlineStr">
        <is>
          <t>pick</t>
        </is>
      </c>
      <c r="S45" t="inlineStr">
        <is>
          <t>Costa Rica</t>
        </is>
      </c>
      <c r="T45" t="inlineStr">
        <is>
          <t>polymarket</t>
        </is>
      </c>
      <c r="U45" t="n">
        <v>8.31</v>
      </c>
      <c r="V45">
        <f>(I45-O45)^2+(J45-P45)^2+(K45-Q45)^2</f>
        <v/>
      </c>
      <c r="W45">
        <f>IF(B45&lt;&gt;"KO","",IF(R45="pick",IF(VLOOKUP(A45,'Match Universe'!A:K,11,FALSE)=S45,"hit","miss"),IF(R45="pass","n/a","n/a")))</f>
        <v/>
      </c>
      <c r="X45" t="inlineStr">
        <is>
          <t>BACKTEST wc 2022</t>
        </is>
      </c>
    </row>
    <row r="46">
      <c r="A46" t="inlineStr">
        <is>
          <t>wc22-f-bel-can-20221123</t>
        </is>
      </c>
      <c r="B46" t="inlineStr">
        <is>
          <t>T-38</t>
        </is>
      </c>
      <c r="C46" t="n">
        <v>2025</v>
      </c>
      <c r="D46" t="n">
        <v>1748</v>
      </c>
      <c r="E46" t="n">
        <v>0</v>
      </c>
      <c r="F46" t="n">
        <v>18</v>
      </c>
      <c r="G46" t="n">
        <v>1</v>
      </c>
      <c r="H46" t="n">
        <v>1</v>
      </c>
      <c r="I46" t="n">
        <v>0.720032</v>
      </c>
      <c r="J46" t="n">
        <v>0.1338</v>
      </c>
      <c r="K46" t="n">
        <v>0.146168</v>
      </c>
      <c r="L46" t="n">
        <v>0.615421</v>
      </c>
      <c r="M46" t="n">
        <v>0.235532</v>
      </c>
      <c r="N46" t="n">
        <v>0.149047</v>
      </c>
      <c r="O46" t="n">
        <v>0</v>
      </c>
      <c r="P46" t="n">
        <v>0</v>
      </c>
      <c r="Q46" t="n">
        <v>0</v>
      </c>
      <c r="R46" t="inlineStr">
        <is>
          <t>pass</t>
        </is>
      </c>
      <c r="S46" t="inlineStr"/>
      <c r="T46" t="inlineStr"/>
      <c r="V46">
        <f>(I46-O46)^2+(J46-P46)^2+(K46-Q46)^2</f>
        <v/>
      </c>
      <c r="W46">
        <f>IF(B46&lt;&gt;"KO","",IF(R46="pick",IF(VLOOKUP(A46,'Match Universe'!A:K,11,FALSE)=S46,"hit","miss"),IF(R46="pass","n/a","n/a")))</f>
        <v/>
      </c>
      <c r="X46" t="inlineStr">
        <is>
          <t>BACKTEST wc 2022</t>
        </is>
      </c>
    </row>
    <row r="47">
      <c r="A47" t="inlineStr">
        <is>
          <t>wc22-f-bel-can-20221123</t>
        </is>
      </c>
      <c r="B47" t="inlineStr">
        <is>
          <t>T-5</t>
        </is>
      </c>
      <c r="C47" t="n">
        <v>2025</v>
      </c>
      <c r="D47" t="n">
        <v>1748</v>
      </c>
      <c r="E47" t="n">
        <v>0</v>
      </c>
      <c r="F47" t="n">
        <v>18</v>
      </c>
      <c r="G47" t="n">
        <v>1</v>
      </c>
      <c r="H47" t="n">
        <v>1</v>
      </c>
      <c r="I47" t="n">
        <v>0.720032</v>
      </c>
      <c r="J47" t="n">
        <v>0.1338</v>
      </c>
      <c r="K47" t="n">
        <v>0.146168</v>
      </c>
      <c r="L47" t="n">
        <v>0.615421</v>
      </c>
      <c r="M47" t="n">
        <v>0.235532</v>
      </c>
      <c r="N47" t="n">
        <v>0.149047</v>
      </c>
      <c r="O47" t="n">
        <v>0</v>
      </c>
      <c r="P47" t="n">
        <v>0</v>
      </c>
      <c r="Q47" t="n">
        <v>0</v>
      </c>
      <c r="R47" t="inlineStr">
        <is>
          <t>pass</t>
        </is>
      </c>
      <c r="S47" t="inlineStr"/>
      <c r="T47" t="inlineStr"/>
      <c r="V47">
        <f>(I47-O47)^2+(J47-P47)^2+(K47-Q47)^2</f>
        <v/>
      </c>
      <c r="W47">
        <f>IF(B47&lt;&gt;"KO","",IF(R47="pick",IF(VLOOKUP(A47,'Match Universe'!A:K,11,FALSE)=S47,"hit","miss"),IF(R47="pass","n/a","n/a")))</f>
        <v/>
      </c>
      <c r="X47" t="inlineStr">
        <is>
          <t>BACKTEST wc 2022</t>
        </is>
      </c>
    </row>
    <row r="48">
      <c r="A48" t="inlineStr">
        <is>
          <t>wc22-f-bel-can-20221123</t>
        </is>
      </c>
      <c r="B48" t="inlineStr">
        <is>
          <t>T-1h</t>
        </is>
      </c>
      <c r="C48" t="n">
        <v>2025</v>
      </c>
      <c r="D48" t="n">
        <v>1748</v>
      </c>
      <c r="E48" t="n">
        <v>0</v>
      </c>
      <c r="F48" t="n">
        <v>18</v>
      </c>
      <c r="G48" t="n">
        <v>1</v>
      </c>
      <c r="H48" t="n">
        <v>1</v>
      </c>
      <c r="I48" t="n">
        <v>0.720032</v>
      </c>
      <c r="J48" t="n">
        <v>0.1338</v>
      </c>
      <c r="K48" t="n">
        <v>0.146168</v>
      </c>
      <c r="L48" t="n">
        <v>0.615421</v>
      </c>
      <c r="M48" t="n">
        <v>0.235532</v>
      </c>
      <c r="N48" t="n">
        <v>0.149047</v>
      </c>
      <c r="O48" t="n">
        <v>0</v>
      </c>
      <c r="P48" t="n">
        <v>0</v>
      </c>
      <c r="Q48" t="n">
        <v>0</v>
      </c>
      <c r="R48" t="inlineStr">
        <is>
          <t>pass</t>
        </is>
      </c>
      <c r="S48" t="inlineStr"/>
      <c r="T48" t="inlineStr"/>
      <c r="V48">
        <f>(I48-O48)^2+(J48-P48)^2+(K48-Q48)^2</f>
        <v/>
      </c>
      <c r="W48">
        <f>IF(B48&lt;&gt;"KO","",IF(R48="pick",IF(VLOOKUP(A48,'Match Universe'!A:K,11,FALSE)=S48,"hit","miss"),IF(R48="pass","n/a","n/a")))</f>
        <v/>
      </c>
      <c r="X48" t="inlineStr">
        <is>
          <t>BACKTEST wc 2022</t>
        </is>
      </c>
    </row>
    <row r="49">
      <c r="A49" t="inlineStr">
        <is>
          <t>wc22-f-bel-can-20221123</t>
        </is>
      </c>
      <c r="B49" t="inlineStr">
        <is>
          <t>KO</t>
        </is>
      </c>
      <c r="C49" t="n">
        <v>2025</v>
      </c>
      <c r="D49" t="n">
        <v>1748</v>
      </c>
      <c r="E49" t="n">
        <v>0</v>
      </c>
      <c r="F49" t="n">
        <v>18</v>
      </c>
      <c r="G49" t="n">
        <v>1</v>
      </c>
      <c r="H49" t="n">
        <v>1</v>
      </c>
      <c r="I49" t="n">
        <v>0.720032</v>
      </c>
      <c r="J49" t="n">
        <v>0.1338</v>
      </c>
      <c r="K49" t="n">
        <v>0.146168</v>
      </c>
      <c r="L49" t="n">
        <v>0.615421</v>
      </c>
      <c r="M49" t="n">
        <v>0.235532</v>
      </c>
      <c r="N49" t="n">
        <v>0.149047</v>
      </c>
      <c r="O49" t="n">
        <v>1</v>
      </c>
      <c r="P49" t="n">
        <v>0</v>
      </c>
      <c r="Q49" t="n">
        <v>0</v>
      </c>
      <c r="R49" t="inlineStr">
        <is>
          <t>pass</t>
        </is>
      </c>
      <c r="S49" t="inlineStr"/>
      <c r="T49" t="inlineStr"/>
      <c r="V49">
        <f>(I49-O49)^2+(J49-P49)^2+(K49-Q49)^2</f>
        <v/>
      </c>
      <c r="W49">
        <f>IF(B49&lt;&gt;"KO","",IF(R49="pick",IF(VLOOKUP(A49,'Match Universe'!A:K,11,FALSE)=S49,"hit","miss"),IF(R49="pass","n/a","n/a")))</f>
        <v/>
      </c>
      <c r="X49" t="inlineStr">
        <is>
          <t>BACKTEST wc 2022</t>
        </is>
      </c>
    </row>
    <row r="50">
      <c r="A50" t="inlineStr">
        <is>
          <t>wc22-g-sui-cmr-20221124</t>
        </is>
      </c>
      <c r="B50" t="inlineStr">
        <is>
          <t>T-38</t>
        </is>
      </c>
      <c r="C50" t="n">
        <v>1881</v>
      </c>
      <c r="D50" t="n">
        <v>1739</v>
      </c>
      <c r="E50" t="n">
        <v>0</v>
      </c>
      <c r="F50" t="n">
        <v>8</v>
      </c>
      <c r="G50" t="n">
        <v>1</v>
      </c>
      <c r="H50" t="n">
        <v>1</v>
      </c>
      <c r="I50" t="n">
        <v>0.5446839999999999</v>
      </c>
      <c r="J50" t="n">
        <v>0.2148</v>
      </c>
      <c r="K50" t="n">
        <v>0.240516</v>
      </c>
      <c r="L50" t="n">
        <v>0.5262790000000001</v>
      </c>
      <c r="M50" t="n">
        <v>0.279157</v>
      </c>
      <c r="N50" t="n">
        <v>0.194564</v>
      </c>
      <c r="O50" t="n">
        <v>0</v>
      </c>
      <c r="P50" t="n">
        <v>0</v>
      </c>
      <c r="Q50" t="n">
        <v>0</v>
      </c>
      <c r="R50" t="inlineStr">
        <is>
          <t>pass</t>
        </is>
      </c>
      <c r="S50" t="inlineStr"/>
      <c r="T50" t="inlineStr"/>
      <c r="V50">
        <f>(I50-O50)^2+(J50-P50)^2+(K50-Q50)^2</f>
        <v/>
      </c>
      <c r="W50">
        <f>IF(B50&lt;&gt;"KO","",IF(R50="pick",IF(VLOOKUP(A50,'Match Universe'!A:K,11,FALSE)=S50,"hit","miss"),IF(R50="pass","n/a","n/a")))</f>
        <v/>
      </c>
      <c r="X50" t="inlineStr">
        <is>
          <t>BACKTEST wc 2022</t>
        </is>
      </c>
    </row>
    <row r="51">
      <c r="A51" t="inlineStr">
        <is>
          <t>wc22-g-sui-cmr-20221124</t>
        </is>
      </c>
      <c r="B51" t="inlineStr">
        <is>
          <t>T-5</t>
        </is>
      </c>
      <c r="C51" t="n">
        <v>1881</v>
      </c>
      <c r="D51" t="n">
        <v>1739</v>
      </c>
      <c r="E51" t="n">
        <v>0</v>
      </c>
      <c r="F51" t="n">
        <v>8</v>
      </c>
      <c r="G51" t="n">
        <v>1</v>
      </c>
      <c r="H51" t="n">
        <v>1</v>
      </c>
      <c r="I51" t="n">
        <v>0.5446839999999999</v>
      </c>
      <c r="J51" t="n">
        <v>0.2148</v>
      </c>
      <c r="K51" t="n">
        <v>0.240516</v>
      </c>
      <c r="L51" t="n">
        <v>0.5262790000000001</v>
      </c>
      <c r="M51" t="n">
        <v>0.279157</v>
      </c>
      <c r="N51" t="n">
        <v>0.194564</v>
      </c>
      <c r="O51" t="n">
        <v>0</v>
      </c>
      <c r="P51" t="n">
        <v>0</v>
      </c>
      <c r="Q51" t="n">
        <v>0</v>
      </c>
      <c r="R51" t="inlineStr">
        <is>
          <t>pass</t>
        </is>
      </c>
      <c r="S51" t="inlineStr"/>
      <c r="T51" t="inlineStr"/>
      <c r="V51">
        <f>(I51-O51)^2+(J51-P51)^2+(K51-Q51)^2</f>
        <v/>
      </c>
      <c r="W51">
        <f>IF(B51&lt;&gt;"KO","",IF(R51="pick",IF(VLOOKUP(A51,'Match Universe'!A:K,11,FALSE)=S51,"hit","miss"),IF(R51="pass","n/a","n/a")))</f>
        <v/>
      </c>
      <c r="X51" t="inlineStr">
        <is>
          <t>BACKTEST wc 2022</t>
        </is>
      </c>
    </row>
    <row r="52">
      <c r="A52" t="inlineStr">
        <is>
          <t>wc22-g-sui-cmr-20221124</t>
        </is>
      </c>
      <c r="B52" t="inlineStr">
        <is>
          <t>T-1h</t>
        </is>
      </c>
      <c r="C52" t="n">
        <v>1881</v>
      </c>
      <c r="D52" t="n">
        <v>1739</v>
      </c>
      <c r="E52" t="n">
        <v>0</v>
      </c>
      <c r="F52" t="n">
        <v>8</v>
      </c>
      <c r="G52" t="n">
        <v>1</v>
      </c>
      <c r="H52" t="n">
        <v>1</v>
      </c>
      <c r="I52" t="n">
        <v>0.5446839999999999</v>
      </c>
      <c r="J52" t="n">
        <v>0.2148</v>
      </c>
      <c r="K52" t="n">
        <v>0.240516</v>
      </c>
      <c r="L52" t="n">
        <v>0.5262790000000001</v>
      </c>
      <c r="M52" t="n">
        <v>0.279157</v>
      </c>
      <c r="N52" t="n">
        <v>0.194564</v>
      </c>
      <c r="O52" t="n">
        <v>0</v>
      </c>
      <c r="P52" t="n">
        <v>0</v>
      </c>
      <c r="Q52" t="n">
        <v>0</v>
      </c>
      <c r="R52" t="inlineStr">
        <is>
          <t>pass</t>
        </is>
      </c>
      <c r="S52" t="inlineStr"/>
      <c r="T52" t="inlineStr"/>
      <c r="V52">
        <f>(I52-O52)^2+(J52-P52)^2+(K52-Q52)^2</f>
        <v/>
      </c>
      <c r="W52">
        <f>IF(B52&lt;&gt;"KO","",IF(R52="pick",IF(VLOOKUP(A52,'Match Universe'!A:K,11,FALSE)=S52,"hit","miss"),IF(R52="pass","n/a","n/a")))</f>
        <v/>
      </c>
      <c r="X52" t="inlineStr">
        <is>
          <t>BACKTEST wc 2022</t>
        </is>
      </c>
    </row>
    <row r="53">
      <c r="A53" t="inlineStr">
        <is>
          <t>wc22-g-sui-cmr-20221124</t>
        </is>
      </c>
      <c r="B53" t="inlineStr">
        <is>
          <t>KO</t>
        </is>
      </c>
      <c r="C53" t="n">
        <v>1881</v>
      </c>
      <c r="D53" t="n">
        <v>1739</v>
      </c>
      <c r="E53" t="n">
        <v>0</v>
      </c>
      <c r="F53" t="n">
        <v>8</v>
      </c>
      <c r="G53" t="n">
        <v>1</v>
      </c>
      <c r="H53" t="n">
        <v>1</v>
      </c>
      <c r="I53" t="n">
        <v>0.5446839999999999</v>
      </c>
      <c r="J53" t="n">
        <v>0.2148</v>
      </c>
      <c r="K53" t="n">
        <v>0.240516</v>
      </c>
      <c r="L53" t="n">
        <v>0.5262790000000001</v>
      </c>
      <c r="M53" t="n">
        <v>0.279157</v>
      </c>
      <c r="N53" t="n">
        <v>0.194564</v>
      </c>
      <c r="O53" t="n">
        <v>1</v>
      </c>
      <c r="P53" t="n">
        <v>0</v>
      </c>
      <c r="Q53" t="n">
        <v>0</v>
      </c>
      <c r="R53" t="inlineStr">
        <is>
          <t>pass</t>
        </is>
      </c>
      <c r="S53" t="inlineStr"/>
      <c r="T53" t="inlineStr"/>
      <c r="V53">
        <f>(I53-O53)^2+(J53-P53)^2+(K53-Q53)^2</f>
        <v/>
      </c>
      <c r="W53">
        <f>IF(B53&lt;&gt;"KO","",IF(R53="pick",IF(VLOOKUP(A53,'Match Universe'!A:K,11,FALSE)=S53,"hit","miss"),IF(R53="pass","n/a","n/a")))</f>
        <v/>
      </c>
      <c r="X53" t="inlineStr">
        <is>
          <t>BACKTEST wc 2022</t>
        </is>
      </c>
    </row>
    <row r="54">
      <c r="A54" t="inlineStr">
        <is>
          <t>wc22-h-uru-kor-20221124</t>
        </is>
      </c>
      <c r="B54" t="inlineStr">
        <is>
          <t>T-38</t>
        </is>
      </c>
      <c r="C54" t="n">
        <v>1909</v>
      </c>
      <c r="D54" t="n">
        <v>1786</v>
      </c>
      <c r="E54" t="n">
        <v>0</v>
      </c>
      <c r="F54" t="n">
        <v>18</v>
      </c>
      <c r="G54" t="n">
        <v>1</v>
      </c>
      <c r="H54" t="n">
        <v>1</v>
      </c>
      <c r="I54" t="n">
        <v>0.518422</v>
      </c>
      <c r="J54" t="n">
        <v>0.2262</v>
      </c>
      <c r="K54" t="n">
        <v>0.255378</v>
      </c>
      <c r="L54" t="n">
        <v>0.516971</v>
      </c>
      <c r="M54" t="n">
        <v>0.289817</v>
      </c>
      <c r="N54" t="n">
        <v>0.193211</v>
      </c>
      <c r="O54" t="n">
        <v>0</v>
      </c>
      <c r="P54" t="n">
        <v>0</v>
      </c>
      <c r="Q54" t="n">
        <v>0</v>
      </c>
      <c r="R54" t="inlineStr">
        <is>
          <t>pass</t>
        </is>
      </c>
      <c r="S54" t="inlineStr"/>
      <c r="T54" t="inlineStr"/>
      <c r="V54">
        <f>(I54-O54)^2+(J54-P54)^2+(K54-Q54)^2</f>
        <v/>
      </c>
      <c r="W54">
        <f>IF(B54&lt;&gt;"KO","",IF(R54="pick",IF(VLOOKUP(A54,'Match Universe'!A:K,11,FALSE)=S54,"hit","miss"),IF(R54="pass","n/a","n/a")))</f>
        <v/>
      </c>
      <c r="X54" t="inlineStr">
        <is>
          <t>BACKTEST wc 2022</t>
        </is>
      </c>
    </row>
    <row r="55">
      <c r="A55" t="inlineStr">
        <is>
          <t>wc22-h-uru-kor-20221124</t>
        </is>
      </c>
      <c r="B55" t="inlineStr">
        <is>
          <t>T-5</t>
        </is>
      </c>
      <c r="C55" t="n">
        <v>1909</v>
      </c>
      <c r="D55" t="n">
        <v>1786</v>
      </c>
      <c r="E55" t="n">
        <v>0</v>
      </c>
      <c r="F55" t="n">
        <v>18</v>
      </c>
      <c r="G55" t="n">
        <v>1</v>
      </c>
      <c r="H55" t="n">
        <v>1</v>
      </c>
      <c r="I55" t="n">
        <v>0.518422</v>
      </c>
      <c r="J55" t="n">
        <v>0.2262</v>
      </c>
      <c r="K55" t="n">
        <v>0.255378</v>
      </c>
      <c r="L55" t="n">
        <v>0.516971</v>
      </c>
      <c r="M55" t="n">
        <v>0.289817</v>
      </c>
      <c r="N55" t="n">
        <v>0.193211</v>
      </c>
      <c r="O55" t="n">
        <v>0</v>
      </c>
      <c r="P55" t="n">
        <v>0</v>
      </c>
      <c r="Q55" t="n">
        <v>0</v>
      </c>
      <c r="R55" t="inlineStr">
        <is>
          <t>pass</t>
        </is>
      </c>
      <c r="S55" t="inlineStr"/>
      <c r="T55" t="inlineStr"/>
      <c r="V55">
        <f>(I55-O55)^2+(J55-P55)^2+(K55-Q55)^2</f>
        <v/>
      </c>
      <c r="W55">
        <f>IF(B55&lt;&gt;"KO","",IF(R55="pick",IF(VLOOKUP(A55,'Match Universe'!A:K,11,FALSE)=S55,"hit","miss"),IF(R55="pass","n/a","n/a")))</f>
        <v/>
      </c>
      <c r="X55" t="inlineStr">
        <is>
          <t>BACKTEST wc 2022</t>
        </is>
      </c>
    </row>
    <row r="56">
      <c r="A56" t="inlineStr">
        <is>
          <t>wc22-h-uru-kor-20221124</t>
        </is>
      </c>
      <c r="B56" t="inlineStr">
        <is>
          <t>T-1h</t>
        </is>
      </c>
      <c r="C56" t="n">
        <v>1909</v>
      </c>
      <c r="D56" t="n">
        <v>1786</v>
      </c>
      <c r="E56" t="n">
        <v>0</v>
      </c>
      <c r="F56" t="n">
        <v>18</v>
      </c>
      <c r="G56" t="n">
        <v>1</v>
      </c>
      <c r="H56" t="n">
        <v>1</v>
      </c>
      <c r="I56" t="n">
        <v>0.518422</v>
      </c>
      <c r="J56" t="n">
        <v>0.2262</v>
      </c>
      <c r="K56" t="n">
        <v>0.255378</v>
      </c>
      <c r="L56" t="n">
        <v>0.516971</v>
      </c>
      <c r="M56" t="n">
        <v>0.289817</v>
      </c>
      <c r="N56" t="n">
        <v>0.193211</v>
      </c>
      <c r="O56" t="n">
        <v>0</v>
      </c>
      <c r="P56" t="n">
        <v>0</v>
      </c>
      <c r="Q56" t="n">
        <v>0</v>
      </c>
      <c r="R56" t="inlineStr">
        <is>
          <t>pass</t>
        </is>
      </c>
      <c r="S56" t="inlineStr"/>
      <c r="T56" t="inlineStr"/>
      <c r="V56">
        <f>(I56-O56)^2+(J56-P56)^2+(K56-Q56)^2</f>
        <v/>
      </c>
      <c r="W56">
        <f>IF(B56&lt;&gt;"KO","",IF(R56="pick",IF(VLOOKUP(A56,'Match Universe'!A:K,11,FALSE)=S56,"hit","miss"),IF(R56="pass","n/a","n/a")))</f>
        <v/>
      </c>
      <c r="X56" t="inlineStr">
        <is>
          <t>BACKTEST wc 2022</t>
        </is>
      </c>
    </row>
    <row r="57">
      <c r="A57" t="inlineStr">
        <is>
          <t>wc22-h-uru-kor-20221124</t>
        </is>
      </c>
      <c r="B57" t="inlineStr">
        <is>
          <t>KO</t>
        </is>
      </c>
      <c r="C57" t="n">
        <v>1909</v>
      </c>
      <c r="D57" t="n">
        <v>1786</v>
      </c>
      <c r="E57" t="n">
        <v>0</v>
      </c>
      <c r="F57" t="n">
        <v>18</v>
      </c>
      <c r="G57" t="n">
        <v>1</v>
      </c>
      <c r="H57" t="n">
        <v>1</v>
      </c>
      <c r="I57" t="n">
        <v>0.518422</v>
      </c>
      <c r="J57" t="n">
        <v>0.2262</v>
      </c>
      <c r="K57" t="n">
        <v>0.255378</v>
      </c>
      <c r="L57" t="n">
        <v>0.516971</v>
      </c>
      <c r="M57" t="n">
        <v>0.289817</v>
      </c>
      <c r="N57" t="n">
        <v>0.193211</v>
      </c>
      <c r="O57" t="n">
        <v>0</v>
      </c>
      <c r="P57" t="n">
        <v>1</v>
      </c>
      <c r="Q57" t="n">
        <v>0</v>
      </c>
      <c r="R57" t="inlineStr">
        <is>
          <t>pass</t>
        </is>
      </c>
      <c r="S57" t="inlineStr"/>
      <c r="T57" t="inlineStr"/>
      <c r="V57">
        <f>(I57-O57)^2+(J57-P57)^2+(K57-Q57)^2</f>
        <v/>
      </c>
      <c r="W57">
        <f>IF(B57&lt;&gt;"KO","",IF(R57="pick",IF(VLOOKUP(A57,'Match Universe'!A:K,11,FALSE)=S57,"hit","miss"),IF(R57="pass","n/a","n/a")))</f>
        <v/>
      </c>
      <c r="X57" t="inlineStr">
        <is>
          <t>BACKTEST wc 2022</t>
        </is>
      </c>
    </row>
    <row r="58">
      <c r="A58" t="inlineStr">
        <is>
          <t>wc22-h-por-gha-20221124</t>
        </is>
      </c>
      <c r="B58" t="inlineStr">
        <is>
          <t>T-38</t>
        </is>
      </c>
      <c r="C58" t="n">
        <v>2040</v>
      </c>
      <c r="D58" t="n">
        <v>1685</v>
      </c>
      <c r="E58" t="n">
        <v>0</v>
      </c>
      <c r="F58" t="n">
        <v>8</v>
      </c>
      <c r="G58" t="n">
        <v>1</v>
      </c>
      <c r="H58" t="n">
        <v>1</v>
      </c>
      <c r="I58" t="n">
        <v>0.796764</v>
      </c>
      <c r="J58" t="n">
        <v>0.1</v>
      </c>
      <c r="K58" t="n">
        <v>0.103236</v>
      </c>
      <c r="L58" t="n">
        <v>0.667874</v>
      </c>
      <c r="M58" t="n">
        <v>0.217059</v>
      </c>
      <c r="N58" t="n">
        <v>0.115067</v>
      </c>
      <c r="O58" t="n">
        <v>0</v>
      </c>
      <c r="P58" t="n">
        <v>0</v>
      </c>
      <c r="Q58" t="n">
        <v>0</v>
      </c>
      <c r="R58" t="inlineStr">
        <is>
          <t>pass</t>
        </is>
      </c>
      <c r="S58" t="inlineStr"/>
      <c r="T58" t="inlineStr"/>
      <c r="V58">
        <f>(I58-O58)^2+(J58-P58)^2+(K58-Q58)^2</f>
        <v/>
      </c>
      <c r="W58">
        <f>IF(B58&lt;&gt;"KO","",IF(R58="pick",IF(VLOOKUP(A58,'Match Universe'!A:K,11,FALSE)=S58,"hit","miss"),IF(R58="pass","n/a","n/a")))</f>
        <v/>
      </c>
      <c r="X58" t="inlineStr">
        <is>
          <t>BACKTEST wc 2022</t>
        </is>
      </c>
    </row>
    <row r="59">
      <c r="A59" t="inlineStr">
        <is>
          <t>wc22-h-por-gha-20221124</t>
        </is>
      </c>
      <c r="B59" t="inlineStr">
        <is>
          <t>T-5</t>
        </is>
      </c>
      <c r="C59" t="n">
        <v>2040</v>
      </c>
      <c r="D59" t="n">
        <v>1685</v>
      </c>
      <c r="E59" t="n">
        <v>0</v>
      </c>
      <c r="F59" t="n">
        <v>8</v>
      </c>
      <c r="G59" t="n">
        <v>1</v>
      </c>
      <c r="H59" t="n">
        <v>1</v>
      </c>
      <c r="I59" t="n">
        <v>0.796764</v>
      </c>
      <c r="J59" t="n">
        <v>0.1</v>
      </c>
      <c r="K59" t="n">
        <v>0.103236</v>
      </c>
      <c r="L59" t="n">
        <v>0.667874</v>
      </c>
      <c r="M59" t="n">
        <v>0.217059</v>
      </c>
      <c r="N59" t="n">
        <v>0.115067</v>
      </c>
      <c r="O59" t="n">
        <v>0</v>
      </c>
      <c r="P59" t="n">
        <v>0</v>
      </c>
      <c r="Q59" t="n">
        <v>0</v>
      </c>
      <c r="R59" t="inlineStr">
        <is>
          <t>pass</t>
        </is>
      </c>
      <c r="S59" t="inlineStr"/>
      <c r="T59" t="inlineStr"/>
      <c r="V59">
        <f>(I59-O59)^2+(J59-P59)^2+(K59-Q59)^2</f>
        <v/>
      </c>
      <c r="W59">
        <f>IF(B59&lt;&gt;"KO","",IF(R59="pick",IF(VLOOKUP(A59,'Match Universe'!A:K,11,FALSE)=S59,"hit","miss"),IF(R59="pass","n/a","n/a")))</f>
        <v/>
      </c>
      <c r="X59" t="inlineStr">
        <is>
          <t>BACKTEST wc 2022</t>
        </is>
      </c>
    </row>
    <row r="60">
      <c r="A60" t="inlineStr">
        <is>
          <t>wc22-h-por-gha-20221124</t>
        </is>
      </c>
      <c r="B60" t="inlineStr">
        <is>
          <t>T-1h</t>
        </is>
      </c>
      <c r="C60" t="n">
        <v>2040</v>
      </c>
      <c r="D60" t="n">
        <v>1685</v>
      </c>
      <c r="E60" t="n">
        <v>0</v>
      </c>
      <c r="F60" t="n">
        <v>8</v>
      </c>
      <c r="G60" t="n">
        <v>1</v>
      </c>
      <c r="H60" t="n">
        <v>1</v>
      </c>
      <c r="I60" t="n">
        <v>0.796764</v>
      </c>
      <c r="J60" t="n">
        <v>0.1</v>
      </c>
      <c r="K60" t="n">
        <v>0.103236</v>
      </c>
      <c r="L60" t="n">
        <v>0.667874</v>
      </c>
      <c r="M60" t="n">
        <v>0.217059</v>
      </c>
      <c r="N60" t="n">
        <v>0.115067</v>
      </c>
      <c r="O60" t="n">
        <v>0</v>
      </c>
      <c r="P60" t="n">
        <v>0</v>
      </c>
      <c r="Q60" t="n">
        <v>0</v>
      </c>
      <c r="R60" t="inlineStr">
        <is>
          <t>pass</t>
        </is>
      </c>
      <c r="S60" t="inlineStr"/>
      <c r="T60" t="inlineStr"/>
      <c r="V60">
        <f>(I60-O60)^2+(J60-P60)^2+(K60-Q60)^2</f>
        <v/>
      </c>
      <c r="W60">
        <f>IF(B60&lt;&gt;"KO","",IF(R60="pick",IF(VLOOKUP(A60,'Match Universe'!A:K,11,FALSE)=S60,"hit","miss"),IF(R60="pass","n/a","n/a")))</f>
        <v/>
      </c>
      <c r="X60" t="inlineStr">
        <is>
          <t>BACKTEST wc 2022</t>
        </is>
      </c>
    </row>
    <row r="61">
      <c r="A61" t="inlineStr">
        <is>
          <t>wc22-h-por-gha-20221124</t>
        </is>
      </c>
      <c r="B61" t="inlineStr">
        <is>
          <t>KO</t>
        </is>
      </c>
      <c r="C61" t="n">
        <v>2040</v>
      </c>
      <c r="D61" t="n">
        <v>1685</v>
      </c>
      <c r="E61" t="n">
        <v>0</v>
      </c>
      <c r="F61" t="n">
        <v>8</v>
      </c>
      <c r="G61" t="n">
        <v>1</v>
      </c>
      <c r="H61" t="n">
        <v>1</v>
      </c>
      <c r="I61" t="n">
        <v>0.796764</v>
      </c>
      <c r="J61" t="n">
        <v>0.1</v>
      </c>
      <c r="K61" t="n">
        <v>0.103236</v>
      </c>
      <c r="L61" t="n">
        <v>0.667874</v>
      </c>
      <c r="M61" t="n">
        <v>0.217059</v>
      </c>
      <c r="N61" t="n">
        <v>0.115067</v>
      </c>
      <c r="O61" t="n">
        <v>1</v>
      </c>
      <c r="P61" t="n">
        <v>0</v>
      </c>
      <c r="Q61" t="n">
        <v>0</v>
      </c>
      <c r="R61" t="inlineStr">
        <is>
          <t>pass</t>
        </is>
      </c>
      <c r="S61" t="inlineStr"/>
      <c r="T61" t="inlineStr"/>
      <c r="V61">
        <f>(I61-O61)^2+(J61-P61)^2+(K61-Q61)^2</f>
        <v/>
      </c>
      <c r="W61">
        <f>IF(B61&lt;&gt;"KO","",IF(R61="pick",IF(VLOOKUP(A61,'Match Universe'!A:K,11,FALSE)=S61,"hit","miss"),IF(R61="pass","n/a","n/a")))</f>
        <v/>
      </c>
      <c r="X61" t="inlineStr">
        <is>
          <t>BACKTEST wc 2022</t>
        </is>
      </c>
    </row>
    <row r="62">
      <c r="A62" t="inlineStr">
        <is>
          <t>wc22-g-bra-srb-20221124</t>
        </is>
      </c>
      <c r="B62" t="inlineStr">
        <is>
          <t>T-38</t>
        </is>
      </c>
      <c r="C62" t="n">
        <v>2169</v>
      </c>
      <c r="D62" t="n">
        <v>1804</v>
      </c>
      <c r="E62" t="n">
        <v>0</v>
      </c>
      <c r="F62" t="n">
        <v>8</v>
      </c>
      <c r="G62" t="n">
        <v>1</v>
      </c>
      <c r="H62" t="n">
        <v>1</v>
      </c>
      <c r="I62" t="n">
        <v>0.80191</v>
      </c>
      <c r="J62" t="n">
        <v>0.1</v>
      </c>
      <c r="K62" t="n">
        <v>0.09809</v>
      </c>
      <c r="L62" t="n">
        <v>0.640662</v>
      </c>
      <c r="M62" t="n">
        <v>0.224977</v>
      </c>
      <c r="N62" t="n">
        <v>0.134361</v>
      </c>
      <c r="O62" t="n">
        <v>0</v>
      </c>
      <c r="P62" t="n">
        <v>0</v>
      </c>
      <c r="Q62" t="n">
        <v>0</v>
      </c>
      <c r="R62" t="inlineStr">
        <is>
          <t>pick</t>
        </is>
      </c>
      <c r="S62" t="inlineStr">
        <is>
          <t>Brazil</t>
        </is>
      </c>
      <c r="T62" t="inlineStr">
        <is>
          <t>polymarket</t>
        </is>
      </c>
      <c r="U62" t="n">
        <v>16.12</v>
      </c>
      <c r="V62">
        <f>(I62-O62)^2+(J62-P62)^2+(K62-Q62)^2</f>
        <v/>
      </c>
      <c r="W62">
        <f>IF(B62&lt;&gt;"KO","",IF(R62="pick",IF(VLOOKUP(A62,'Match Universe'!A:K,11,FALSE)=S62,"hit","miss"),IF(R62="pass","n/a","n/a")))</f>
        <v/>
      </c>
      <c r="X62" t="inlineStr">
        <is>
          <t>BACKTEST wc 2022</t>
        </is>
      </c>
    </row>
    <row r="63">
      <c r="A63" t="inlineStr">
        <is>
          <t>wc22-g-bra-srb-20221124</t>
        </is>
      </c>
      <c r="B63" t="inlineStr">
        <is>
          <t>T-5</t>
        </is>
      </c>
      <c r="C63" t="n">
        <v>2169</v>
      </c>
      <c r="D63" t="n">
        <v>1804</v>
      </c>
      <c r="E63" t="n">
        <v>0</v>
      </c>
      <c r="F63" t="n">
        <v>8</v>
      </c>
      <c r="G63" t="n">
        <v>1</v>
      </c>
      <c r="H63" t="n">
        <v>1</v>
      </c>
      <c r="I63" t="n">
        <v>0.80191</v>
      </c>
      <c r="J63" t="n">
        <v>0.1</v>
      </c>
      <c r="K63" t="n">
        <v>0.09809</v>
      </c>
      <c r="L63" t="n">
        <v>0.640662</v>
      </c>
      <c r="M63" t="n">
        <v>0.224977</v>
      </c>
      <c r="N63" t="n">
        <v>0.134361</v>
      </c>
      <c r="O63" t="n">
        <v>0</v>
      </c>
      <c r="P63" t="n">
        <v>0</v>
      </c>
      <c r="Q63" t="n">
        <v>0</v>
      </c>
      <c r="R63" t="inlineStr">
        <is>
          <t>pick</t>
        </is>
      </c>
      <c r="S63" t="inlineStr">
        <is>
          <t>Brazil</t>
        </is>
      </c>
      <c r="T63" t="inlineStr">
        <is>
          <t>polymarket</t>
        </is>
      </c>
      <c r="U63" t="n">
        <v>16.12</v>
      </c>
      <c r="V63">
        <f>(I63-O63)^2+(J63-P63)^2+(K63-Q63)^2</f>
        <v/>
      </c>
      <c r="W63">
        <f>IF(B63&lt;&gt;"KO","",IF(R63="pick",IF(VLOOKUP(A63,'Match Universe'!A:K,11,FALSE)=S63,"hit","miss"),IF(R63="pass","n/a","n/a")))</f>
        <v/>
      </c>
      <c r="X63" t="inlineStr">
        <is>
          <t>BACKTEST wc 2022</t>
        </is>
      </c>
    </row>
    <row r="64">
      <c r="A64" t="inlineStr">
        <is>
          <t>wc22-g-bra-srb-20221124</t>
        </is>
      </c>
      <c r="B64" t="inlineStr">
        <is>
          <t>T-1h</t>
        </is>
      </c>
      <c r="C64" t="n">
        <v>2169</v>
      </c>
      <c r="D64" t="n">
        <v>1804</v>
      </c>
      <c r="E64" t="n">
        <v>0</v>
      </c>
      <c r="F64" t="n">
        <v>8</v>
      </c>
      <c r="G64" t="n">
        <v>1</v>
      </c>
      <c r="H64" t="n">
        <v>1</v>
      </c>
      <c r="I64" t="n">
        <v>0.80191</v>
      </c>
      <c r="J64" t="n">
        <v>0.1</v>
      </c>
      <c r="K64" t="n">
        <v>0.09809</v>
      </c>
      <c r="L64" t="n">
        <v>0.640662</v>
      </c>
      <c r="M64" t="n">
        <v>0.224977</v>
      </c>
      <c r="N64" t="n">
        <v>0.134361</v>
      </c>
      <c r="O64" t="n">
        <v>0</v>
      </c>
      <c r="P64" t="n">
        <v>0</v>
      </c>
      <c r="Q64" t="n">
        <v>0</v>
      </c>
      <c r="R64" t="inlineStr">
        <is>
          <t>pick</t>
        </is>
      </c>
      <c r="S64" t="inlineStr">
        <is>
          <t>Brazil</t>
        </is>
      </c>
      <c r="T64" t="inlineStr">
        <is>
          <t>polymarket</t>
        </is>
      </c>
      <c r="U64" t="n">
        <v>16.12</v>
      </c>
      <c r="V64">
        <f>(I64-O64)^2+(J64-P64)^2+(K64-Q64)^2</f>
        <v/>
      </c>
      <c r="W64">
        <f>IF(B64&lt;&gt;"KO","",IF(R64="pick",IF(VLOOKUP(A64,'Match Universe'!A:K,11,FALSE)=S64,"hit","miss"),IF(R64="pass","n/a","n/a")))</f>
        <v/>
      </c>
      <c r="X64" t="inlineStr">
        <is>
          <t>BACKTEST wc 2022</t>
        </is>
      </c>
    </row>
    <row r="65">
      <c r="A65" t="inlineStr">
        <is>
          <t>wc22-g-bra-srb-20221124</t>
        </is>
      </c>
      <c r="B65" t="inlineStr">
        <is>
          <t>KO</t>
        </is>
      </c>
      <c r="C65" t="n">
        <v>2169</v>
      </c>
      <c r="D65" t="n">
        <v>1804</v>
      </c>
      <c r="E65" t="n">
        <v>0</v>
      </c>
      <c r="F65" t="n">
        <v>8</v>
      </c>
      <c r="G65" t="n">
        <v>1</v>
      </c>
      <c r="H65" t="n">
        <v>1</v>
      </c>
      <c r="I65" t="n">
        <v>0.80191</v>
      </c>
      <c r="J65" t="n">
        <v>0.1</v>
      </c>
      <c r="K65" t="n">
        <v>0.09809</v>
      </c>
      <c r="L65" t="n">
        <v>0.640662</v>
      </c>
      <c r="M65" t="n">
        <v>0.224977</v>
      </c>
      <c r="N65" t="n">
        <v>0.134361</v>
      </c>
      <c r="O65" t="n">
        <v>1</v>
      </c>
      <c r="P65" t="n">
        <v>0</v>
      </c>
      <c r="Q65" t="n">
        <v>0</v>
      </c>
      <c r="R65" t="inlineStr">
        <is>
          <t>pick</t>
        </is>
      </c>
      <c r="S65" t="inlineStr">
        <is>
          <t>Brazil</t>
        </is>
      </c>
      <c r="T65" t="inlineStr">
        <is>
          <t>polymarket</t>
        </is>
      </c>
      <c r="U65" t="n">
        <v>16.12</v>
      </c>
      <c r="V65">
        <f>(I65-O65)^2+(J65-P65)^2+(K65-Q65)^2</f>
        <v/>
      </c>
      <c r="W65">
        <f>IF(B65&lt;&gt;"KO","",IF(R65="pick",IF(VLOOKUP(A65,'Match Universe'!A:K,11,FALSE)=S65,"hit","miss"),IF(R65="pass","n/a","n/a")))</f>
        <v/>
      </c>
      <c r="X65" t="inlineStr">
        <is>
          <t>BACKTEST wc 2022</t>
        </is>
      </c>
    </row>
    <row r="66">
      <c r="A66" t="inlineStr">
        <is>
          <t>wc22-b-wal-irn-20221125</t>
        </is>
      </c>
      <c r="B66" t="inlineStr">
        <is>
          <t>T-38</t>
        </is>
      </c>
      <c r="C66" t="n">
        <v>1789</v>
      </c>
      <c r="D66" t="n">
        <v>1818</v>
      </c>
      <c r="E66" t="n">
        <v>0</v>
      </c>
      <c r="F66" t="n">
        <v>18</v>
      </c>
      <c r="G66" t="n">
        <v>1</v>
      </c>
      <c r="H66" t="n">
        <v>1</v>
      </c>
      <c r="I66" t="n">
        <v>0.328829</v>
      </c>
      <c r="J66" t="n">
        <v>0.2826</v>
      </c>
      <c r="K66" t="n">
        <v>0.388571</v>
      </c>
      <c r="L66" t="n">
        <v>0.392819</v>
      </c>
      <c r="M66" t="n">
        <v>0.315543</v>
      </c>
      <c r="N66" t="n">
        <v>0.291638</v>
      </c>
      <c r="O66" t="n">
        <v>0</v>
      </c>
      <c r="P66" t="n">
        <v>0</v>
      </c>
      <c r="Q66" t="n">
        <v>0</v>
      </c>
      <c r="R66" t="inlineStr">
        <is>
          <t>pass</t>
        </is>
      </c>
      <c r="S66" t="inlineStr"/>
      <c r="T66" t="inlineStr"/>
      <c r="V66">
        <f>(I66-O66)^2+(J66-P66)^2+(K66-Q66)^2</f>
        <v/>
      </c>
      <c r="W66">
        <f>IF(B66&lt;&gt;"KO","",IF(R66="pick",IF(VLOOKUP(A66,'Match Universe'!A:K,11,FALSE)=S66,"hit","miss"),IF(R66="pass","n/a","n/a")))</f>
        <v/>
      </c>
      <c r="X66" t="inlineStr">
        <is>
          <t>BACKTEST wc 2022</t>
        </is>
      </c>
    </row>
    <row r="67">
      <c r="A67" t="inlineStr">
        <is>
          <t>wc22-b-wal-irn-20221125</t>
        </is>
      </c>
      <c r="B67" t="inlineStr">
        <is>
          <t>T-5</t>
        </is>
      </c>
      <c r="C67" t="n">
        <v>1789</v>
      </c>
      <c r="D67" t="n">
        <v>1818</v>
      </c>
      <c r="E67" t="n">
        <v>0</v>
      </c>
      <c r="F67" t="n">
        <v>18</v>
      </c>
      <c r="G67" t="n">
        <v>1</v>
      </c>
      <c r="H67" t="n">
        <v>1</v>
      </c>
      <c r="I67" t="n">
        <v>0.328829</v>
      </c>
      <c r="J67" t="n">
        <v>0.2826</v>
      </c>
      <c r="K67" t="n">
        <v>0.388571</v>
      </c>
      <c r="L67" t="n">
        <v>0.392819</v>
      </c>
      <c r="M67" t="n">
        <v>0.315543</v>
      </c>
      <c r="N67" t="n">
        <v>0.291638</v>
      </c>
      <c r="O67" t="n">
        <v>0</v>
      </c>
      <c r="P67" t="n">
        <v>0</v>
      </c>
      <c r="Q67" t="n">
        <v>0</v>
      </c>
      <c r="R67" t="inlineStr">
        <is>
          <t>pass</t>
        </is>
      </c>
      <c r="S67" t="inlineStr"/>
      <c r="T67" t="inlineStr"/>
      <c r="V67">
        <f>(I67-O67)^2+(J67-P67)^2+(K67-Q67)^2</f>
        <v/>
      </c>
      <c r="W67">
        <f>IF(B67&lt;&gt;"KO","",IF(R67="pick",IF(VLOOKUP(A67,'Match Universe'!A:K,11,FALSE)=S67,"hit","miss"),IF(R67="pass","n/a","n/a")))</f>
        <v/>
      </c>
      <c r="X67" t="inlineStr">
        <is>
          <t>BACKTEST wc 2022</t>
        </is>
      </c>
    </row>
    <row r="68">
      <c r="A68" t="inlineStr">
        <is>
          <t>wc22-b-wal-irn-20221125</t>
        </is>
      </c>
      <c r="B68" t="inlineStr">
        <is>
          <t>T-1h</t>
        </is>
      </c>
      <c r="C68" t="n">
        <v>1789</v>
      </c>
      <c r="D68" t="n">
        <v>1818</v>
      </c>
      <c r="E68" t="n">
        <v>0</v>
      </c>
      <c r="F68" t="n">
        <v>18</v>
      </c>
      <c r="G68" t="n">
        <v>1</v>
      </c>
      <c r="H68" t="n">
        <v>1</v>
      </c>
      <c r="I68" t="n">
        <v>0.328829</v>
      </c>
      <c r="J68" t="n">
        <v>0.2826</v>
      </c>
      <c r="K68" t="n">
        <v>0.388571</v>
      </c>
      <c r="L68" t="n">
        <v>0.392819</v>
      </c>
      <c r="M68" t="n">
        <v>0.315543</v>
      </c>
      <c r="N68" t="n">
        <v>0.291638</v>
      </c>
      <c r="O68" t="n">
        <v>0</v>
      </c>
      <c r="P68" t="n">
        <v>0</v>
      </c>
      <c r="Q68" t="n">
        <v>0</v>
      </c>
      <c r="R68" t="inlineStr">
        <is>
          <t>pass</t>
        </is>
      </c>
      <c r="S68" t="inlineStr"/>
      <c r="T68" t="inlineStr"/>
      <c r="V68">
        <f>(I68-O68)^2+(J68-P68)^2+(K68-Q68)^2</f>
        <v/>
      </c>
      <c r="W68">
        <f>IF(B68&lt;&gt;"KO","",IF(R68="pick",IF(VLOOKUP(A68,'Match Universe'!A:K,11,FALSE)=S68,"hit","miss"),IF(R68="pass","n/a","n/a")))</f>
        <v/>
      </c>
      <c r="X68" t="inlineStr">
        <is>
          <t>BACKTEST wc 2022</t>
        </is>
      </c>
    </row>
    <row r="69">
      <c r="A69" t="inlineStr">
        <is>
          <t>wc22-b-wal-irn-20221125</t>
        </is>
      </c>
      <c r="B69" t="inlineStr">
        <is>
          <t>KO</t>
        </is>
      </c>
      <c r="C69" t="n">
        <v>1789</v>
      </c>
      <c r="D69" t="n">
        <v>1818</v>
      </c>
      <c r="E69" t="n">
        <v>0</v>
      </c>
      <c r="F69" t="n">
        <v>18</v>
      </c>
      <c r="G69" t="n">
        <v>1</v>
      </c>
      <c r="H69" t="n">
        <v>1</v>
      </c>
      <c r="I69" t="n">
        <v>0.328829</v>
      </c>
      <c r="J69" t="n">
        <v>0.2826</v>
      </c>
      <c r="K69" t="n">
        <v>0.388571</v>
      </c>
      <c r="L69" t="n">
        <v>0.392819</v>
      </c>
      <c r="M69" t="n">
        <v>0.315543</v>
      </c>
      <c r="N69" t="n">
        <v>0.291638</v>
      </c>
      <c r="O69" t="n">
        <v>0</v>
      </c>
      <c r="P69" t="n">
        <v>0</v>
      </c>
      <c r="Q69" t="n">
        <v>1</v>
      </c>
      <c r="R69" t="inlineStr">
        <is>
          <t>pass</t>
        </is>
      </c>
      <c r="S69" t="inlineStr"/>
      <c r="T69" t="inlineStr"/>
      <c r="V69">
        <f>(I69-O69)^2+(J69-P69)^2+(K69-Q69)^2</f>
        <v/>
      </c>
      <c r="W69">
        <f>IF(B69&lt;&gt;"KO","",IF(R69="pick",IF(VLOOKUP(A69,'Match Universe'!A:K,11,FALSE)=S69,"hit","miss"),IF(R69="pass","n/a","n/a")))</f>
        <v/>
      </c>
      <c r="X69" t="inlineStr">
        <is>
          <t>BACKTEST wc 2022</t>
        </is>
      </c>
    </row>
    <row r="70">
      <c r="A70" t="inlineStr">
        <is>
          <t>wc22-a-qat-sen-20221125</t>
        </is>
      </c>
      <c r="B70" t="inlineStr">
        <is>
          <t>T-38</t>
        </is>
      </c>
      <c r="C70" t="n">
        <v>1680</v>
      </c>
      <c r="D70" t="n">
        <v>1858</v>
      </c>
      <c r="E70" t="n">
        <v>75</v>
      </c>
      <c r="F70" t="n">
        <v>8</v>
      </c>
      <c r="G70" t="n">
        <v>1</v>
      </c>
      <c r="H70" t="n">
        <v>1</v>
      </c>
      <c r="I70" t="n">
        <v>0.271175</v>
      </c>
      <c r="J70" t="n">
        <v>0.2382</v>
      </c>
      <c r="K70" t="n">
        <v>0.490625</v>
      </c>
      <c r="L70" t="n">
        <v>0.229002</v>
      </c>
      <c r="M70" t="n">
        <v>0.284517</v>
      </c>
      <c r="N70" t="n">
        <v>0.486481</v>
      </c>
      <c r="O70" t="n">
        <v>0</v>
      </c>
      <c r="P70" t="n">
        <v>0</v>
      </c>
      <c r="Q70" t="n">
        <v>0</v>
      </c>
      <c r="R70" t="inlineStr">
        <is>
          <t>pass</t>
        </is>
      </c>
      <c r="S70" t="inlineStr"/>
      <c r="T70" t="inlineStr"/>
      <c r="V70">
        <f>(I70-O70)^2+(J70-P70)^2+(K70-Q70)^2</f>
        <v/>
      </c>
      <c r="W70">
        <f>IF(B70&lt;&gt;"KO","",IF(R70="pick",IF(VLOOKUP(A70,'Match Universe'!A:K,11,FALSE)=S70,"hit","miss"),IF(R70="pass","n/a","n/a")))</f>
        <v/>
      </c>
      <c r="X70" t="inlineStr">
        <is>
          <t>BACKTEST wc 2022</t>
        </is>
      </c>
    </row>
    <row r="71">
      <c r="A71" t="inlineStr">
        <is>
          <t>wc22-a-qat-sen-20221125</t>
        </is>
      </c>
      <c r="B71" t="inlineStr">
        <is>
          <t>T-5</t>
        </is>
      </c>
      <c r="C71" t="n">
        <v>1680</v>
      </c>
      <c r="D71" t="n">
        <v>1858</v>
      </c>
      <c r="E71" t="n">
        <v>75</v>
      </c>
      <c r="F71" t="n">
        <v>8</v>
      </c>
      <c r="G71" t="n">
        <v>1</v>
      </c>
      <c r="H71" t="n">
        <v>1</v>
      </c>
      <c r="I71" t="n">
        <v>0.271175</v>
      </c>
      <c r="J71" t="n">
        <v>0.2382</v>
      </c>
      <c r="K71" t="n">
        <v>0.490625</v>
      </c>
      <c r="L71" t="n">
        <v>0.229002</v>
      </c>
      <c r="M71" t="n">
        <v>0.284517</v>
      </c>
      <c r="N71" t="n">
        <v>0.486481</v>
      </c>
      <c r="O71" t="n">
        <v>0</v>
      </c>
      <c r="P71" t="n">
        <v>0</v>
      </c>
      <c r="Q71" t="n">
        <v>0</v>
      </c>
      <c r="R71" t="inlineStr">
        <is>
          <t>pass</t>
        </is>
      </c>
      <c r="S71" t="inlineStr"/>
      <c r="T71" t="inlineStr"/>
      <c r="V71">
        <f>(I71-O71)^2+(J71-P71)^2+(K71-Q71)^2</f>
        <v/>
      </c>
      <c r="W71">
        <f>IF(B71&lt;&gt;"KO","",IF(R71="pick",IF(VLOOKUP(A71,'Match Universe'!A:K,11,FALSE)=S71,"hit","miss"),IF(R71="pass","n/a","n/a")))</f>
        <v/>
      </c>
      <c r="X71" t="inlineStr">
        <is>
          <t>BACKTEST wc 2022</t>
        </is>
      </c>
    </row>
    <row r="72">
      <c r="A72" t="inlineStr">
        <is>
          <t>wc22-a-qat-sen-20221125</t>
        </is>
      </c>
      <c r="B72" t="inlineStr">
        <is>
          <t>T-1h</t>
        </is>
      </c>
      <c r="C72" t="n">
        <v>1680</v>
      </c>
      <c r="D72" t="n">
        <v>1858</v>
      </c>
      <c r="E72" t="n">
        <v>75</v>
      </c>
      <c r="F72" t="n">
        <v>8</v>
      </c>
      <c r="G72" t="n">
        <v>1</v>
      </c>
      <c r="H72" t="n">
        <v>1</v>
      </c>
      <c r="I72" t="n">
        <v>0.271175</v>
      </c>
      <c r="J72" t="n">
        <v>0.2382</v>
      </c>
      <c r="K72" t="n">
        <v>0.490625</v>
      </c>
      <c r="L72" t="n">
        <v>0.229002</v>
      </c>
      <c r="M72" t="n">
        <v>0.284517</v>
      </c>
      <c r="N72" t="n">
        <v>0.486481</v>
      </c>
      <c r="O72" t="n">
        <v>0</v>
      </c>
      <c r="P72" t="n">
        <v>0</v>
      </c>
      <c r="Q72" t="n">
        <v>0</v>
      </c>
      <c r="R72" t="inlineStr">
        <is>
          <t>pass</t>
        </is>
      </c>
      <c r="S72" t="inlineStr"/>
      <c r="T72" t="inlineStr"/>
      <c r="V72">
        <f>(I72-O72)^2+(J72-P72)^2+(K72-Q72)^2</f>
        <v/>
      </c>
      <c r="W72">
        <f>IF(B72&lt;&gt;"KO","",IF(R72="pick",IF(VLOOKUP(A72,'Match Universe'!A:K,11,FALSE)=S72,"hit","miss"),IF(R72="pass","n/a","n/a")))</f>
        <v/>
      </c>
      <c r="X72" t="inlineStr">
        <is>
          <t>BACKTEST wc 2022</t>
        </is>
      </c>
    </row>
    <row r="73">
      <c r="A73" t="inlineStr">
        <is>
          <t>wc22-a-qat-sen-20221125</t>
        </is>
      </c>
      <c r="B73" t="inlineStr">
        <is>
          <t>KO</t>
        </is>
      </c>
      <c r="C73" t="n">
        <v>1680</v>
      </c>
      <c r="D73" t="n">
        <v>1858</v>
      </c>
      <c r="E73" t="n">
        <v>75</v>
      </c>
      <c r="F73" t="n">
        <v>8</v>
      </c>
      <c r="G73" t="n">
        <v>1</v>
      </c>
      <c r="H73" t="n">
        <v>1</v>
      </c>
      <c r="I73" t="n">
        <v>0.271175</v>
      </c>
      <c r="J73" t="n">
        <v>0.2382</v>
      </c>
      <c r="K73" t="n">
        <v>0.490625</v>
      </c>
      <c r="L73" t="n">
        <v>0.229002</v>
      </c>
      <c r="M73" t="n">
        <v>0.284517</v>
      </c>
      <c r="N73" t="n">
        <v>0.486481</v>
      </c>
      <c r="O73" t="n">
        <v>0</v>
      </c>
      <c r="P73" t="n">
        <v>0</v>
      </c>
      <c r="Q73" t="n">
        <v>1</v>
      </c>
      <c r="R73" t="inlineStr">
        <is>
          <t>pass</t>
        </is>
      </c>
      <c r="S73" t="inlineStr"/>
      <c r="T73" t="inlineStr"/>
      <c r="V73">
        <f>(I73-O73)^2+(J73-P73)^2+(K73-Q73)^2</f>
        <v/>
      </c>
      <c r="W73">
        <f>IF(B73&lt;&gt;"KO","",IF(R73="pick",IF(VLOOKUP(A73,'Match Universe'!A:K,11,FALSE)=S73,"hit","miss"),IF(R73="pass","n/a","n/a")))</f>
        <v/>
      </c>
      <c r="X73" t="inlineStr">
        <is>
          <t>BACKTEST wc 2022</t>
        </is>
      </c>
    </row>
    <row r="74">
      <c r="A74" t="inlineStr">
        <is>
          <t>wc22-a-ned-ecu-20221125</t>
        </is>
      </c>
      <c r="B74" t="inlineStr">
        <is>
          <t>T-38</t>
        </is>
      </c>
      <c r="C74" t="n">
        <v>2040</v>
      </c>
      <c r="D74" t="n">
        <v>1820</v>
      </c>
      <c r="E74" t="n">
        <v>0</v>
      </c>
      <c r="F74" t="n">
        <v>18</v>
      </c>
      <c r="G74" t="n">
        <v>1</v>
      </c>
      <c r="H74" t="n">
        <v>1</v>
      </c>
      <c r="I74" t="n">
        <v>0.649068</v>
      </c>
      <c r="J74" t="n">
        <v>0.168</v>
      </c>
      <c r="K74" t="n">
        <v>0.182932</v>
      </c>
      <c r="L74" t="n">
        <v>0.584156</v>
      </c>
      <c r="M74" t="n">
        <v>0.247318</v>
      </c>
      <c r="N74" t="n">
        <v>0.168526</v>
      </c>
      <c r="O74" t="n">
        <v>0</v>
      </c>
      <c r="P74" t="n">
        <v>0</v>
      </c>
      <c r="Q74" t="n">
        <v>0</v>
      </c>
      <c r="R74" t="inlineStr">
        <is>
          <t>pass</t>
        </is>
      </c>
      <c r="S74" t="inlineStr"/>
      <c r="T74" t="inlineStr"/>
      <c r="V74">
        <f>(I74-O74)^2+(J74-P74)^2+(K74-Q74)^2</f>
        <v/>
      </c>
      <c r="W74">
        <f>IF(B74&lt;&gt;"KO","",IF(R74="pick",IF(VLOOKUP(A74,'Match Universe'!A:K,11,FALSE)=S74,"hit","miss"),IF(R74="pass","n/a","n/a")))</f>
        <v/>
      </c>
      <c r="X74" t="inlineStr">
        <is>
          <t>BACKTEST wc 2022</t>
        </is>
      </c>
    </row>
    <row r="75">
      <c r="A75" t="inlineStr">
        <is>
          <t>wc22-a-ned-ecu-20221125</t>
        </is>
      </c>
      <c r="B75" t="inlineStr">
        <is>
          <t>T-5</t>
        </is>
      </c>
      <c r="C75" t="n">
        <v>2040</v>
      </c>
      <c r="D75" t="n">
        <v>1820</v>
      </c>
      <c r="E75" t="n">
        <v>0</v>
      </c>
      <c r="F75" t="n">
        <v>18</v>
      </c>
      <c r="G75" t="n">
        <v>1</v>
      </c>
      <c r="H75" t="n">
        <v>1</v>
      </c>
      <c r="I75" t="n">
        <v>0.649068</v>
      </c>
      <c r="J75" t="n">
        <v>0.168</v>
      </c>
      <c r="K75" t="n">
        <v>0.182932</v>
      </c>
      <c r="L75" t="n">
        <v>0.584156</v>
      </c>
      <c r="M75" t="n">
        <v>0.247318</v>
      </c>
      <c r="N75" t="n">
        <v>0.168526</v>
      </c>
      <c r="O75" t="n">
        <v>0</v>
      </c>
      <c r="P75" t="n">
        <v>0</v>
      </c>
      <c r="Q75" t="n">
        <v>0</v>
      </c>
      <c r="R75" t="inlineStr">
        <is>
          <t>pass</t>
        </is>
      </c>
      <c r="S75" t="inlineStr"/>
      <c r="T75" t="inlineStr"/>
      <c r="V75">
        <f>(I75-O75)^2+(J75-P75)^2+(K75-Q75)^2</f>
        <v/>
      </c>
      <c r="W75">
        <f>IF(B75&lt;&gt;"KO","",IF(R75="pick",IF(VLOOKUP(A75,'Match Universe'!A:K,11,FALSE)=S75,"hit","miss"),IF(R75="pass","n/a","n/a")))</f>
        <v/>
      </c>
      <c r="X75" t="inlineStr">
        <is>
          <t>BACKTEST wc 2022</t>
        </is>
      </c>
    </row>
    <row r="76">
      <c r="A76" t="inlineStr">
        <is>
          <t>wc22-a-ned-ecu-20221125</t>
        </is>
      </c>
      <c r="B76" t="inlineStr">
        <is>
          <t>T-1h</t>
        </is>
      </c>
      <c r="C76" t="n">
        <v>2040</v>
      </c>
      <c r="D76" t="n">
        <v>1820</v>
      </c>
      <c r="E76" t="n">
        <v>0</v>
      </c>
      <c r="F76" t="n">
        <v>18</v>
      </c>
      <c r="G76" t="n">
        <v>1</v>
      </c>
      <c r="H76" t="n">
        <v>1</v>
      </c>
      <c r="I76" t="n">
        <v>0.649068</v>
      </c>
      <c r="J76" t="n">
        <v>0.168</v>
      </c>
      <c r="K76" t="n">
        <v>0.182932</v>
      </c>
      <c r="L76" t="n">
        <v>0.584156</v>
      </c>
      <c r="M76" t="n">
        <v>0.247318</v>
      </c>
      <c r="N76" t="n">
        <v>0.168526</v>
      </c>
      <c r="O76" t="n">
        <v>0</v>
      </c>
      <c r="P76" t="n">
        <v>0</v>
      </c>
      <c r="Q76" t="n">
        <v>0</v>
      </c>
      <c r="R76" t="inlineStr">
        <is>
          <t>pass</t>
        </is>
      </c>
      <c r="S76" t="inlineStr"/>
      <c r="T76" t="inlineStr"/>
      <c r="V76">
        <f>(I76-O76)^2+(J76-P76)^2+(K76-Q76)^2</f>
        <v/>
      </c>
      <c r="W76">
        <f>IF(B76&lt;&gt;"KO","",IF(R76="pick",IF(VLOOKUP(A76,'Match Universe'!A:K,11,FALSE)=S76,"hit","miss"),IF(R76="pass","n/a","n/a")))</f>
        <v/>
      </c>
      <c r="X76" t="inlineStr">
        <is>
          <t>BACKTEST wc 2022</t>
        </is>
      </c>
    </row>
    <row r="77">
      <c r="A77" t="inlineStr">
        <is>
          <t>wc22-a-ned-ecu-20221125</t>
        </is>
      </c>
      <c r="B77" t="inlineStr">
        <is>
          <t>KO</t>
        </is>
      </c>
      <c r="C77" t="n">
        <v>2040</v>
      </c>
      <c r="D77" t="n">
        <v>1820</v>
      </c>
      <c r="E77" t="n">
        <v>0</v>
      </c>
      <c r="F77" t="n">
        <v>18</v>
      </c>
      <c r="G77" t="n">
        <v>1</v>
      </c>
      <c r="H77" t="n">
        <v>1</v>
      </c>
      <c r="I77" t="n">
        <v>0.649068</v>
      </c>
      <c r="J77" t="n">
        <v>0.168</v>
      </c>
      <c r="K77" t="n">
        <v>0.182932</v>
      </c>
      <c r="L77" t="n">
        <v>0.584156</v>
      </c>
      <c r="M77" t="n">
        <v>0.247318</v>
      </c>
      <c r="N77" t="n">
        <v>0.168526</v>
      </c>
      <c r="O77" t="n">
        <v>0</v>
      </c>
      <c r="P77" t="n">
        <v>1</v>
      </c>
      <c r="Q77" t="n">
        <v>0</v>
      </c>
      <c r="R77" t="inlineStr">
        <is>
          <t>pass</t>
        </is>
      </c>
      <c r="S77" t="inlineStr"/>
      <c r="T77" t="inlineStr"/>
      <c r="V77">
        <f>(I77-O77)^2+(J77-P77)^2+(K77-Q77)^2</f>
        <v/>
      </c>
      <c r="W77">
        <f>IF(B77&lt;&gt;"KO","",IF(R77="pick",IF(VLOOKUP(A77,'Match Universe'!A:K,11,FALSE)=S77,"hit","miss"),IF(R77="pass","n/a","n/a")))</f>
        <v/>
      </c>
      <c r="X77" t="inlineStr">
        <is>
          <t>BACKTEST wc 2022</t>
        </is>
      </c>
    </row>
    <row r="78">
      <c r="A78" t="inlineStr">
        <is>
          <t>wc22-b-eng-usa-20221125</t>
        </is>
      </c>
      <c r="B78" t="inlineStr">
        <is>
          <t>T-38</t>
        </is>
      </c>
      <c r="C78" t="n">
        <v>2020</v>
      </c>
      <c r="D78" t="n">
        <v>1798</v>
      </c>
      <c r="E78" t="n">
        <v>0</v>
      </c>
      <c r="F78" t="n">
        <v>12</v>
      </c>
      <c r="G78" t="n">
        <v>1</v>
      </c>
      <c r="H78" t="n">
        <v>1</v>
      </c>
      <c r="I78" t="n">
        <v>0.651644</v>
      </c>
      <c r="J78" t="n">
        <v>0.1668</v>
      </c>
      <c r="K78" t="n">
        <v>0.181556</v>
      </c>
      <c r="L78" t="n">
        <v>0.591913</v>
      </c>
      <c r="M78" t="n">
        <v>0.242759</v>
      </c>
      <c r="N78" t="n">
        <v>0.165327</v>
      </c>
      <c r="O78" t="n">
        <v>0</v>
      </c>
      <c r="P78" t="n">
        <v>0</v>
      </c>
      <c r="Q78" t="n">
        <v>0</v>
      </c>
      <c r="R78" t="inlineStr">
        <is>
          <t>pass</t>
        </is>
      </c>
      <c r="S78" t="inlineStr"/>
      <c r="T78" t="inlineStr"/>
      <c r="V78">
        <f>(I78-O78)^2+(J78-P78)^2+(K78-Q78)^2</f>
        <v/>
      </c>
      <c r="W78">
        <f>IF(B78&lt;&gt;"KO","",IF(R78="pick",IF(VLOOKUP(A78,'Match Universe'!A:K,11,FALSE)=S78,"hit","miss"),IF(R78="pass","n/a","n/a")))</f>
        <v/>
      </c>
      <c r="X78" t="inlineStr">
        <is>
          <t>BACKTEST wc 2022</t>
        </is>
      </c>
    </row>
    <row r="79">
      <c r="A79" t="inlineStr">
        <is>
          <t>wc22-b-eng-usa-20221125</t>
        </is>
      </c>
      <c r="B79" t="inlineStr">
        <is>
          <t>T-5</t>
        </is>
      </c>
      <c r="C79" t="n">
        <v>2020</v>
      </c>
      <c r="D79" t="n">
        <v>1798</v>
      </c>
      <c r="E79" t="n">
        <v>0</v>
      </c>
      <c r="F79" t="n">
        <v>12</v>
      </c>
      <c r="G79" t="n">
        <v>1</v>
      </c>
      <c r="H79" t="n">
        <v>1</v>
      </c>
      <c r="I79" t="n">
        <v>0.651644</v>
      </c>
      <c r="J79" t="n">
        <v>0.1668</v>
      </c>
      <c r="K79" t="n">
        <v>0.181556</v>
      </c>
      <c r="L79" t="n">
        <v>0.591913</v>
      </c>
      <c r="M79" t="n">
        <v>0.242759</v>
      </c>
      <c r="N79" t="n">
        <v>0.165327</v>
      </c>
      <c r="O79" t="n">
        <v>0</v>
      </c>
      <c r="P79" t="n">
        <v>0</v>
      </c>
      <c r="Q79" t="n">
        <v>0</v>
      </c>
      <c r="R79" t="inlineStr">
        <is>
          <t>pass</t>
        </is>
      </c>
      <c r="S79" t="inlineStr"/>
      <c r="T79" t="inlineStr"/>
      <c r="V79">
        <f>(I79-O79)^2+(J79-P79)^2+(K79-Q79)^2</f>
        <v/>
      </c>
      <c r="W79">
        <f>IF(B79&lt;&gt;"KO","",IF(R79="pick",IF(VLOOKUP(A79,'Match Universe'!A:K,11,FALSE)=S79,"hit","miss"),IF(R79="pass","n/a","n/a")))</f>
        <v/>
      </c>
      <c r="X79" t="inlineStr">
        <is>
          <t>BACKTEST wc 2022</t>
        </is>
      </c>
    </row>
    <row r="80">
      <c r="A80" t="inlineStr">
        <is>
          <t>wc22-b-eng-usa-20221125</t>
        </is>
      </c>
      <c r="B80" t="inlineStr">
        <is>
          <t>T-1h</t>
        </is>
      </c>
      <c r="C80" t="n">
        <v>2020</v>
      </c>
      <c r="D80" t="n">
        <v>1798</v>
      </c>
      <c r="E80" t="n">
        <v>0</v>
      </c>
      <c r="F80" t="n">
        <v>12</v>
      </c>
      <c r="G80" t="n">
        <v>1</v>
      </c>
      <c r="H80" t="n">
        <v>1</v>
      </c>
      <c r="I80" t="n">
        <v>0.651644</v>
      </c>
      <c r="J80" t="n">
        <v>0.1668</v>
      </c>
      <c r="K80" t="n">
        <v>0.181556</v>
      </c>
      <c r="L80" t="n">
        <v>0.591913</v>
      </c>
      <c r="M80" t="n">
        <v>0.242759</v>
      </c>
      <c r="N80" t="n">
        <v>0.165327</v>
      </c>
      <c r="O80" t="n">
        <v>0</v>
      </c>
      <c r="P80" t="n">
        <v>0</v>
      </c>
      <c r="Q80" t="n">
        <v>0</v>
      </c>
      <c r="R80" t="inlineStr">
        <is>
          <t>pass</t>
        </is>
      </c>
      <c r="S80" t="inlineStr"/>
      <c r="T80" t="inlineStr"/>
      <c r="V80">
        <f>(I80-O80)^2+(J80-P80)^2+(K80-Q80)^2</f>
        <v/>
      </c>
      <c r="W80">
        <f>IF(B80&lt;&gt;"KO","",IF(R80="pick",IF(VLOOKUP(A80,'Match Universe'!A:K,11,FALSE)=S80,"hit","miss"),IF(R80="pass","n/a","n/a")))</f>
        <v/>
      </c>
      <c r="X80" t="inlineStr">
        <is>
          <t>BACKTEST wc 2022</t>
        </is>
      </c>
    </row>
    <row r="81">
      <c r="A81" t="inlineStr">
        <is>
          <t>wc22-b-eng-usa-20221125</t>
        </is>
      </c>
      <c r="B81" t="inlineStr">
        <is>
          <t>KO</t>
        </is>
      </c>
      <c r="C81" t="n">
        <v>2020</v>
      </c>
      <c r="D81" t="n">
        <v>1798</v>
      </c>
      <c r="E81" t="n">
        <v>0</v>
      </c>
      <c r="F81" t="n">
        <v>12</v>
      </c>
      <c r="G81" t="n">
        <v>1</v>
      </c>
      <c r="H81" t="n">
        <v>1</v>
      </c>
      <c r="I81" t="n">
        <v>0.651644</v>
      </c>
      <c r="J81" t="n">
        <v>0.1668</v>
      </c>
      <c r="K81" t="n">
        <v>0.181556</v>
      </c>
      <c r="L81" t="n">
        <v>0.591913</v>
      </c>
      <c r="M81" t="n">
        <v>0.242759</v>
      </c>
      <c r="N81" t="n">
        <v>0.165327</v>
      </c>
      <c r="O81" t="n">
        <v>0</v>
      </c>
      <c r="P81" t="n">
        <v>1</v>
      </c>
      <c r="Q81" t="n">
        <v>0</v>
      </c>
      <c r="R81" t="inlineStr">
        <is>
          <t>pass</t>
        </is>
      </c>
      <c r="S81" t="inlineStr"/>
      <c r="T81" t="inlineStr"/>
      <c r="V81">
        <f>(I81-O81)^2+(J81-P81)^2+(K81-Q81)^2</f>
        <v/>
      </c>
      <c r="W81">
        <f>IF(B81&lt;&gt;"KO","",IF(R81="pick",IF(VLOOKUP(A81,'Match Universe'!A:K,11,FALSE)=S81,"hit","miss"),IF(R81="pass","n/a","n/a")))</f>
        <v/>
      </c>
      <c r="X81" t="inlineStr">
        <is>
          <t>BACKTEST wc 2022</t>
        </is>
      </c>
    </row>
    <row r="82">
      <c r="A82" t="inlineStr">
        <is>
          <t>wc22-d-tun-aus-20221126</t>
        </is>
      </c>
      <c r="B82" t="inlineStr">
        <is>
          <t>T-38</t>
        </is>
      </c>
      <c r="C82" t="n">
        <v>1729</v>
      </c>
      <c r="D82" t="n">
        <v>1720</v>
      </c>
      <c r="E82" t="n">
        <v>0</v>
      </c>
      <c r="F82" t="n">
        <v>8</v>
      </c>
      <c r="G82" t="n">
        <v>1</v>
      </c>
      <c r="H82" t="n">
        <v>1</v>
      </c>
      <c r="I82" t="n">
        <v>0.361834</v>
      </c>
      <c r="J82" t="n">
        <v>0.2946</v>
      </c>
      <c r="K82" t="n">
        <v>0.343566</v>
      </c>
      <c r="L82" t="n">
        <v>0.420894</v>
      </c>
      <c r="M82" t="n">
        <v>0.302518</v>
      </c>
      <c r="N82" t="n">
        <v>0.276588</v>
      </c>
      <c r="O82" t="n">
        <v>0</v>
      </c>
      <c r="P82" t="n">
        <v>0</v>
      </c>
      <c r="Q82" t="n">
        <v>0</v>
      </c>
      <c r="R82" t="inlineStr">
        <is>
          <t>pass</t>
        </is>
      </c>
      <c r="S82" t="inlineStr"/>
      <c r="T82" t="inlineStr"/>
      <c r="V82">
        <f>(I82-O82)^2+(J82-P82)^2+(K82-Q82)^2</f>
        <v/>
      </c>
      <c r="W82">
        <f>IF(B82&lt;&gt;"KO","",IF(R82="pick",IF(VLOOKUP(A82,'Match Universe'!A:K,11,FALSE)=S82,"hit","miss"),IF(R82="pass","n/a","n/a")))</f>
        <v/>
      </c>
      <c r="X82" t="inlineStr">
        <is>
          <t>BACKTEST wc 2022</t>
        </is>
      </c>
    </row>
    <row r="83">
      <c r="A83" t="inlineStr">
        <is>
          <t>wc22-d-tun-aus-20221126</t>
        </is>
      </c>
      <c r="B83" t="inlineStr">
        <is>
          <t>T-5</t>
        </is>
      </c>
      <c r="C83" t="n">
        <v>1729</v>
      </c>
      <c r="D83" t="n">
        <v>1720</v>
      </c>
      <c r="E83" t="n">
        <v>0</v>
      </c>
      <c r="F83" t="n">
        <v>8</v>
      </c>
      <c r="G83" t="n">
        <v>1</v>
      </c>
      <c r="H83" t="n">
        <v>1</v>
      </c>
      <c r="I83" t="n">
        <v>0.361834</v>
      </c>
      <c r="J83" t="n">
        <v>0.2946</v>
      </c>
      <c r="K83" t="n">
        <v>0.343566</v>
      </c>
      <c r="L83" t="n">
        <v>0.420894</v>
      </c>
      <c r="M83" t="n">
        <v>0.302518</v>
      </c>
      <c r="N83" t="n">
        <v>0.276588</v>
      </c>
      <c r="O83" t="n">
        <v>0</v>
      </c>
      <c r="P83" t="n">
        <v>0</v>
      </c>
      <c r="Q83" t="n">
        <v>0</v>
      </c>
      <c r="R83" t="inlineStr">
        <is>
          <t>pass</t>
        </is>
      </c>
      <c r="S83" t="inlineStr"/>
      <c r="T83" t="inlineStr"/>
      <c r="V83">
        <f>(I83-O83)^2+(J83-P83)^2+(K83-Q83)^2</f>
        <v/>
      </c>
      <c r="W83">
        <f>IF(B83&lt;&gt;"KO","",IF(R83="pick",IF(VLOOKUP(A83,'Match Universe'!A:K,11,FALSE)=S83,"hit","miss"),IF(R83="pass","n/a","n/a")))</f>
        <v/>
      </c>
      <c r="X83" t="inlineStr">
        <is>
          <t>BACKTEST wc 2022</t>
        </is>
      </c>
    </row>
    <row r="84">
      <c r="A84" t="inlineStr">
        <is>
          <t>wc22-d-tun-aus-20221126</t>
        </is>
      </c>
      <c r="B84" t="inlineStr">
        <is>
          <t>T-1h</t>
        </is>
      </c>
      <c r="C84" t="n">
        <v>1729</v>
      </c>
      <c r="D84" t="n">
        <v>1720</v>
      </c>
      <c r="E84" t="n">
        <v>0</v>
      </c>
      <c r="F84" t="n">
        <v>8</v>
      </c>
      <c r="G84" t="n">
        <v>1</v>
      </c>
      <c r="H84" t="n">
        <v>1</v>
      </c>
      <c r="I84" t="n">
        <v>0.361834</v>
      </c>
      <c r="J84" t="n">
        <v>0.2946</v>
      </c>
      <c r="K84" t="n">
        <v>0.343566</v>
      </c>
      <c r="L84" t="n">
        <v>0.420894</v>
      </c>
      <c r="M84" t="n">
        <v>0.302518</v>
      </c>
      <c r="N84" t="n">
        <v>0.276588</v>
      </c>
      <c r="O84" t="n">
        <v>0</v>
      </c>
      <c r="P84" t="n">
        <v>0</v>
      </c>
      <c r="Q84" t="n">
        <v>0</v>
      </c>
      <c r="R84" t="inlineStr">
        <is>
          <t>pass</t>
        </is>
      </c>
      <c r="S84" t="inlineStr"/>
      <c r="T84" t="inlineStr"/>
      <c r="V84">
        <f>(I84-O84)^2+(J84-P84)^2+(K84-Q84)^2</f>
        <v/>
      </c>
      <c r="W84">
        <f>IF(B84&lt;&gt;"KO","",IF(R84="pick",IF(VLOOKUP(A84,'Match Universe'!A:K,11,FALSE)=S84,"hit","miss"),IF(R84="pass","n/a","n/a")))</f>
        <v/>
      </c>
      <c r="X84" t="inlineStr">
        <is>
          <t>BACKTEST wc 2022</t>
        </is>
      </c>
    </row>
    <row r="85">
      <c r="A85" t="inlineStr">
        <is>
          <t>wc22-d-tun-aus-20221126</t>
        </is>
      </c>
      <c r="B85" t="inlineStr">
        <is>
          <t>KO</t>
        </is>
      </c>
      <c r="C85" t="n">
        <v>1729</v>
      </c>
      <c r="D85" t="n">
        <v>1720</v>
      </c>
      <c r="E85" t="n">
        <v>0</v>
      </c>
      <c r="F85" t="n">
        <v>8</v>
      </c>
      <c r="G85" t="n">
        <v>1</v>
      </c>
      <c r="H85" t="n">
        <v>1</v>
      </c>
      <c r="I85" t="n">
        <v>0.361834</v>
      </c>
      <c r="J85" t="n">
        <v>0.2946</v>
      </c>
      <c r="K85" t="n">
        <v>0.343566</v>
      </c>
      <c r="L85" t="n">
        <v>0.420894</v>
      </c>
      <c r="M85" t="n">
        <v>0.302518</v>
      </c>
      <c r="N85" t="n">
        <v>0.276588</v>
      </c>
      <c r="O85" t="n">
        <v>0</v>
      </c>
      <c r="P85" t="n">
        <v>0</v>
      </c>
      <c r="Q85" t="n">
        <v>1</v>
      </c>
      <c r="R85" t="inlineStr">
        <is>
          <t>pass</t>
        </is>
      </c>
      <c r="S85" t="inlineStr"/>
      <c r="T85" t="inlineStr"/>
      <c r="V85">
        <f>(I85-O85)^2+(J85-P85)^2+(K85-Q85)^2</f>
        <v/>
      </c>
      <c r="W85">
        <f>IF(B85&lt;&gt;"KO","",IF(R85="pick",IF(VLOOKUP(A85,'Match Universe'!A:K,11,FALSE)=S85,"hit","miss"),IF(R85="pass","n/a","n/a")))</f>
        <v/>
      </c>
      <c r="X85" t="inlineStr">
        <is>
          <t>BACKTEST wc 2022</t>
        </is>
      </c>
    </row>
    <row r="86">
      <c r="A86" t="inlineStr">
        <is>
          <t>wc22-c-pol-sau-20221126</t>
        </is>
      </c>
      <c r="B86" t="inlineStr">
        <is>
          <t>T-38</t>
        </is>
      </c>
      <c r="C86" t="n">
        <v>1855</v>
      </c>
      <c r="D86" t="n">
        <v>1635</v>
      </c>
      <c r="E86" t="n">
        <v>0</v>
      </c>
      <c r="F86" t="n">
        <v>8</v>
      </c>
      <c r="G86" t="n">
        <v>1</v>
      </c>
      <c r="H86" t="n">
        <v>1</v>
      </c>
      <c r="I86" t="n">
        <v>0.649068</v>
      </c>
      <c r="J86" t="n">
        <v>0.168</v>
      </c>
      <c r="K86" t="n">
        <v>0.182932</v>
      </c>
      <c r="L86" t="n">
        <v>0.549642</v>
      </c>
      <c r="M86" t="n">
        <v>0.273251</v>
      </c>
      <c r="N86" t="n">
        <v>0.177107</v>
      </c>
      <c r="O86" t="n">
        <v>0</v>
      </c>
      <c r="P86" t="n">
        <v>0</v>
      </c>
      <c r="Q86" t="n">
        <v>0</v>
      </c>
      <c r="R86" t="inlineStr">
        <is>
          <t>pass</t>
        </is>
      </c>
      <c r="S86" t="inlineStr"/>
      <c r="T86" t="inlineStr"/>
      <c r="V86">
        <f>(I86-O86)^2+(J86-P86)^2+(K86-Q86)^2</f>
        <v/>
      </c>
      <c r="W86">
        <f>IF(B86&lt;&gt;"KO","",IF(R86="pick",IF(VLOOKUP(A86,'Match Universe'!A:K,11,FALSE)=S86,"hit","miss"),IF(R86="pass","n/a","n/a")))</f>
        <v/>
      </c>
      <c r="X86" t="inlineStr">
        <is>
          <t>BACKTEST wc 2022</t>
        </is>
      </c>
    </row>
    <row r="87">
      <c r="A87" t="inlineStr">
        <is>
          <t>wc22-c-pol-sau-20221126</t>
        </is>
      </c>
      <c r="B87" t="inlineStr">
        <is>
          <t>T-5</t>
        </is>
      </c>
      <c r="C87" t="n">
        <v>1855</v>
      </c>
      <c r="D87" t="n">
        <v>1635</v>
      </c>
      <c r="E87" t="n">
        <v>0</v>
      </c>
      <c r="F87" t="n">
        <v>8</v>
      </c>
      <c r="G87" t="n">
        <v>1</v>
      </c>
      <c r="H87" t="n">
        <v>1</v>
      </c>
      <c r="I87" t="n">
        <v>0.649068</v>
      </c>
      <c r="J87" t="n">
        <v>0.168</v>
      </c>
      <c r="K87" t="n">
        <v>0.182932</v>
      </c>
      <c r="L87" t="n">
        <v>0.549642</v>
      </c>
      <c r="M87" t="n">
        <v>0.273251</v>
      </c>
      <c r="N87" t="n">
        <v>0.177107</v>
      </c>
      <c r="O87" t="n">
        <v>0</v>
      </c>
      <c r="P87" t="n">
        <v>0</v>
      </c>
      <c r="Q87" t="n">
        <v>0</v>
      </c>
      <c r="R87" t="inlineStr">
        <is>
          <t>pass</t>
        </is>
      </c>
      <c r="S87" t="inlineStr"/>
      <c r="T87" t="inlineStr"/>
      <c r="V87">
        <f>(I87-O87)^2+(J87-P87)^2+(K87-Q87)^2</f>
        <v/>
      </c>
      <c r="W87">
        <f>IF(B87&lt;&gt;"KO","",IF(R87="pick",IF(VLOOKUP(A87,'Match Universe'!A:K,11,FALSE)=S87,"hit","miss"),IF(R87="pass","n/a","n/a")))</f>
        <v/>
      </c>
      <c r="X87" t="inlineStr">
        <is>
          <t>BACKTEST wc 2022</t>
        </is>
      </c>
    </row>
    <row r="88">
      <c r="A88" t="inlineStr">
        <is>
          <t>wc22-c-pol-sau-20221126</t>
        </is>
      </c>
      <c r="B88" t="inlineStr">
        <is>
          <t>T-1h</t>
        </is>
      </c>
      <c r="C88" t="n">
        <v>1855</v>
      </c>
      <c r="D88" t="n">
        <v>1635</v>
      </c>
      <c r="E88" t="n">
        <v>0</v>
      </c>
      <c r="F88" t="n">
        <v>8</v>
      </c>
      <c r="G88" t="n">
        <v>1</v>
      </c>
      <c r="H88" t="n">
        <v>1</v>
      </c>
      <c r="I88" t="n">
        <v>0.649068</v>
      </c>
      <c r="J88" t="n">
        <v>0.168</v>
      </c>
      <c r="K88" t="n">
        <v>0.182932</v>
      </c>
      <c r="L88" t="n">
        <v>0.549642</v>
      </c>
      <c r="M88" t="n">
        <v>0.273251</v>
      </c>
      <c r="N88" t="n">
        <v>0.177107</v>
      </c>
      <c r="O88" t="n">
        <v>0</v>
      </c>
      <c r="P88" t="n">
        <v>0</v>
      </c>
      <c r="Q88" t="n">
        <v>0</v>
      </c>
      <c r="R88" t="inlineStr">
        <is>
          <t>pass</t>
        </is>
      </c>
      <c r="S88" t="inlineStr"/>
      <c r="T88" t="inlineStr"/>
      <c r="V88">
        <f>(I88-O88)^2+(J88-P88)^2+(K88-Q88)^2</f>
        <v/>
      </c>
      <c r="W88">
        <f>IF(B88&lt;&gt;"KO","",IF(R88="pick",IF(VLOOKUP(A88,'Match Universe'!A:K,11,FALSE)=S88,"hit","miss"),IF(R88="pass","n/a","n/a")))</f>
        <v/>
      </c>
      <c r="X88" t="inlineStr">
        <is>
          <t>BACKTEST wc 2022</t>
        </is>
      </c>
    </row>
    <row r="89">
      <c r="A89" t="inlineStr">
        <is>
          <t>wc22-c-pol-sau-20221126</t>
        </is>
      </c>
      <c r="B89" t="inlineStr">
        <is>
          <t>KO</t>
        </is>
      </c>
      <c r="C89" t="n">
        <v>1855</v>
      </c>
      <c r="D89" t="n">
        <v>1635</v>
      </c>
      <c r="E89" t="n">
        <v>0</v>
      </c>
      <c r="F89" t="n">
        <v>8</v>
      </c>
      <c r="G89" t="n">
        <v>1</v>
      </c>
      <c r="H89" t="n">
        <v>1</v>
      </c>
      <c r="I89" t="n">
        <v>0.649068</v>
      </c>
      <c r="J89" t="n">
        <v>0.168</v>
      </c>
      <c r="K89" t="n">
        <v>0.182932</v>
      </c>
      <c r="L89" t="n">
        <v>0.549642</v>
      </c>
      <c r="M89" t="n">
        <v>0.273251</v>
      </c>
      <c r="N89" t="n">
        <v>0.177107</v>
      </c>
      <c r="O89" t="n">
        <v>1</v>
      </c>
      <c r="P89" t="n">
        <v>0</v>
      </c>
      <c r="Q89" t="n">
        <v>0</v>
      </c>
      <c r="R89" t="inlineStr">
        <is>
          <t>pass</t>
        </is>
      </c>
      <c r="S89" t="inlineStr"/>
      <c r="T89" t="inlineStr"/>
      <c r="V89">
        <f>(I89-O89)^2+(J89-P89)^2+(K89-Q89)^2</f>
        <v/>
      </c>
      <c r="W89">
        <f>IF(B89&lt;&gt;"KO","",IF(R89="pick",IF(VLOOKUP(A89,'Match Universe'!A:K,11,FALSE)=S89,"hit","miss"),IF(R89="pass","n/a","n/a")))</f>
        <v/>
      </c>
      <c r="X89" t="inlineStr">
        <is>
          <t>BACKTEST wc 2022</t>
        </is>
      </c>
    </row>
    <row r="90">
      <c r="A90" t="inlineStr">
        <is>
          <t>wc22-d-fra-den-20221126</t>
        </is>
      </c>
      <c r="B90" t="inlineStr">
        <is>
          <t>T-38</t>
        </is>
      </c>
      <c r="C90" t="n">
        <v>2080</v>
      </c>
      <c r="D90" t="n">
        <v>1915</v>
      </c>
      <c r="E90" t="n">
        <v>0</v>
      </c>
      <c r="F90" t="n">
        <v>8</v>
      </c>
      <c r="G90" t="n">
        <v>1</v>
      </c>
      <c r="H90" t="n">
        <v>1</v>
      </c>
      <c r="I90" t="n">
        <v>0.576142</v>
      </c>
      <c r="J90" t="n">
        <v>0.201</v>
      </c>
      <c r="K90" t="n">
        <v>0.222858</v>
      </c>
      <c r="L90" t="n">
        <v>0.491718</v>
      </c>
      <c r="M90" t="n">
        <v>0.287581</v>
      </c>
      <c r="N90" t="n">
        <v>0.220701</v>
      </c>
      <c r="O90" t="n">
        <v>0</v>
      </c>
      <c r="P90" t="n">
        <v>0</v>
      </c>
      <c r="Q90" t="n">
        <v>0</v>
      </c>
      <c r="R90" t="inlineStr">
        <is>
          <t>pass</t>
        </is>
      </c>
      <c r="S90" t="inlineStr"/>
      <c r="T90" t="inlineStr"/>
      <c r="V90">
        <f>(I90-O90)^2+(J90-P90)^2+(K90-Q90)^2</f>
        <v/>
      </c>
      <c r="W90">
        <f>IF(B90&lt;&gt;"KO","",IF(R90="pick",IF(VLOOKUP(A90,'Match Universe'!A:K,11,FALSE)=S90,"hit","miss"),IF(R90="pass","n/a","n/a")))</f>
        <v/>
      </c>
      <c r="X90" t="inlineStr">
        <is>
          <t>BACKTEST wc 2022</t>
        </is>
      </c>
    </row>
    <row r="91">
      <c r="A91" t="inlineStr">
        <is>
          <t>wc22-d-fra-den-20221126</t>
        </is>
      </c>
      <c r="B91" t="inlineStr">
        <is>
          <t>T-5</t>
        </is>
      </c>
      <c r="C91" t="n">
        <v>2080</v>
      </c>
      <c r="D91" t="n">
        <v>1915</v>
      </c>
      <c r="E91" t="n">
        <v>0</v>
      </c>
      <c r="F91" t="n">
        <v>8</v>
      </c>
      <c r="G91" t="n">
        <v>1</v>
      </c>
      <c r="H91" t="n">
        <v>1</v>
      </c>
      <c r="I91" t="n">
        <v>0.576142</v>
      </c>
      <c r="J91" t="n">
        <v>0.201</v>
      </c>
      <c r="K91" t="n">
        <v>0.222858</v>
      </c>
      <c r="L91" t="n">
        <v>0.491718</v>
      </c>
      <c r="M91" t="n">
        <v>0.287581</v>
      </c>
      <c r="N91" t="n">
        <v>0.220701</v>
      </c>
      <c r="O91" t="n">
        <v>0</v>
      </c>
      <c r="P91" t="n">
        <v>0</v>
      </c>
      <c r="Q91" t="n">
        <v>0</v>
      </c>
      <c r="R91" t="inlineStr">
        <is>
          <t>pass</t>
        </is>
      </c>
      <c r="S91" t="inlineStr"/>
      <c r="T91" t="inlineStr"/>
      <c r="V91">
        <f>(I91-O91)^2+(J91-P91)^2+(K91-Q91)^2</f>
        <v/>
      </c>
      <c r="W91">
        <f>IF(B91&lt;&gt;"KO","",IF(R91="pick",IF(VLOOKUP(A91,'Match Universe'!A:K,11,FALSE)=S91,"hit","miss"),IF(R91="pass","n/a","n/a")))</f>
        <v/>
      </c>
      <c r="X91" t="inlineStr">
        <is>
          <t>BACKTEST wc 2022</t>
        </is>
      </c>
    </row>
    <row r="92">
      <c r="A92" t="inlineStr">
        <is>
          <t>wc22-d-fra-den-20221126</t>
        </is>
      </c>
      <c r="B92" t="inlineStr">
        <is>
          <t>T-1h</t>
        </is>
      </c>
      <c r="C92" t="n">
        <v>2080</v>
      </c>
      <c r="D92" t="n">
        <v>1915</v>
      </c>
      <c r="E92" t="n">
        <v>0</v>
      </c>
      <c r="F92" t="n">
        <v>8</v>
      </c>
      <c r="G92" t="n">
        <v>1</v>
      </c>
      <c r="H92" t="n">
        <v>1</v>
      </c>
      <c r="I92" t="n">
        <v>0.576142</v>
      </c>
      <c r="J92" t="n">
        <v>0.201</v>
      </c>
      <c r="K92" t="n">
        <v>0.222858</v>
      </c>
      <c r="L92" t="n">
        <v>0.491718</v>
      </c>
      <c r="M92" t="n">
        <v>0.287581</v>
      </c>
      <c r="N92" t="n">
        <v>0.220701</v>
      </c>
      <c r="O92" t="n">
        <v>0</v>
      </c>
      <c r="P92" t="n">
        <v>0</v>
      </c>
      <c r="Q92" t="n">
        <v>0</v>
      </c>
      <c r="R92" t="inlineStr">
        <is>
          <t>pass</t>
        </is>
      </c>
      <c r="S92" t="inlineStr"/>
      <c r="T92" t="inlineStr"/>
      <c r="V92">
        <f>(I92-O92)^2+(J92-P92)^2+(K92-Q92)^2</f>
        <v/>
      </c>
      <c r="W92">
        <f>IF(B92&lt;&gt;"KO","",IF(R92="pick",IF(VLOOKUP(A92,'Match Universe'!A:K,11,FALSE)=S92,"hit","miss"),IF(R92="pass","n/a","n/a")))</f>
        <v/>
      </c>
      <c r="X92" t="inlineStr">
        <is>
          <t>BACKTEST wc 2022</t>
        </is>
      </c>
    </row>
    <row r="93">
      <c r="A93" t="inlineStr">
        <is>
          <t>wc22-d-fra-den-20221126</t>
        </is>
      </c>
      <c r="B93" t="inlineStr">
        <is>
          <t>KO</t>
        </is>
      </c>
      <c r="C93" t="n">
        <v>2080</v>
      </c>
      <c r="D93" t="n">
        <v>1915</v>
      </c>
      <c r="E93" t="n">
        <v>0</v>
      </c>
      <c r="F93" t="n">
        <v>8</v>
      </c>
      <c r="G93" t="n">
        <v>1</v>
      </c>
      <c r="H93" t="n">
        <v>1</v>
      </c>
      <c r="I93" t="n">
        <v>0.576142</v>
      </c>
      <c r="J93" t="n">
        <v>0.201</v>
      </c>
      <c r="K93" t="n">
        <v>0.222858</v>
      </c>
      <c r="L93" t="n">
        <v>0.491718</v>
      </c>
      <c r="M93" t="n">
        <v>0.287581</v>
      </c>
      <c r="N93" t="n">
        <v>0.220701</v>
      </c>
      <c r="O93" t="n">
        <v>1</v>
      </c>
      <c r="P93" t="n">
        <v>0</v>
      </c>
      <c r="Q93" t="n">
        <v>0</v>
      </c>
      <c r="R93" t="inlineStr">
        <is>
          <t>pass</t>
        </is>
      </c>
      <c r="S93" t="inlineStr"/>
      <c r="T93" t="inlineStr"/>
      <c r="V93">
        <f>(I93-O93)^2+(J93-P93)^2+(K93-Q93)^2</f>
        <v/>
      </c>
      <c r="W93">
        <f>IF(B93&lt;&gt;"KO","",IF(R93="pick",IF(VLOOKUP(A93,'Match Universe'!A:K,11,FALSE)=S93,"hit","miss"),IF(R93="pass","n/a","n/a")))</f>
        <v/>
      </c>
      <c r="X93" t="inlineStr">
        <is>
          <t>BACKTEST wc 2022</t>
        </is>
      </c>
    </row>
    <row r="94">
      <c r="A94" t="inlineStr">
        <is>
          <t>wc22-c-arg-mex-20221126</t>
        </is>
      </c>
      <c r="B94" t="inlineStr">
        <is>
          <t>T-38</t>
        </is>
      </c>
      <c r="C94" t="n">
        <v>2142</v>
      </c>
      <c r="D94" t="n">
        <v>1870</v>
      </c>
      <c r="E94" t="n">
        <v>0</v>
      </c>
      <c r="F94" t="n">
        <v>8</v>
      </c>
      <c r="G94" t="n">
        <v>1</v>
      </c>
      <c r="H94" t="n">
        <v>1</v>
      </c>
      <c r="I94" t="n">
        <v>0.71402</v>
      </c>
      <c r="J94" t="n">
        <v>0.1368</v>
      </c>
      <c r="K94" t="n">
        <v>0.14918</v>
      </c>
      <c r="L94" t="n">
        <v>0.628487</v>
      </c>
      <c r="M94" t="n">
        <v>0.246621</v>
      </c>
      <c r="N94" t="n">
        <v>0.124892</v>
      </c>
      <c r="O94" t="n">
        <v>0</v>
      </c>
      <c r="P94" t="n">
        <v>0</v>
      </c>
      <c r="Q94" t="n">
        <v>0</v>
      </c>
      <c r="R94" t="inlineStr">
        <is>
          <t>pass</t>
        </is>
      </c>
      <c r="S94" t="inlineStr"/>
      <c r="T94" t="inlineStr"/>
      <c r="V94">
        <f>(I94-O94)^2+(J94-P94)^2+(K94-Q94)^2</f>
        <v/>
      </c>
      <c r="W94">
        <f>IF(B94&lt;&gt;"KO","",IF(R94="pick",IF(VLOOKUP(A94,'Match Universe'!A:K,11,FALSE)=S94,"hit","miss"),IF(R94="pass","n/a","n/a")))</f>
        <v/>
      </c>
      <c r="X94" t="inlineStr">
        <is>
          <t>BACKTEST wc 2022</t>
        </is>
      </c>
    </row>
    <row r="95">
      <c r="A95" t="inlineStr">
        <is>
          <t>wc22-c-arg-mex-20221126</t>
        </is>
      </c>
      <c r="B95" t="inlineStr">
        <is>
          <t>T-5</t>
        </is>
      </c>
      <c r="C95" t="n">
        <v>2142</v>
      </c>
      <c r="D95" t="n">
        <v>1870</v>
      </c>
      <c r="E95" t="n">
        <v>0</v>
      </c>
      <c r="F95" t="n">
        <v>8</v>
      </c>
      <c r="G95" t="n">
        <v>1</v>
      </c>
      <c r="H95" t="n">
        <v>1</v>
      </c>
      <c r="I95" t="n">
        <v>0.71402</v>
      </c>
      <c r="J95" t="n">
        <v>0.1368</v>
      </c>
      <c r="K95" t="n">
        <v>0.14918</v>
      </c>
      <c r="L95" t="n">
        <v>0.628487</v>
      </c>
      <c r="M95" t="n">
        <v>0.246621</v>
      </c>
      <c r="N95" t="n">
        <v>0.124892</v>
      </c>
      <c r="O95" t="n">
        <v>0</v>
      </c>
      <c r="P95" t="n">
        <v>0</v>
      </c>
      <c r="Q95" t="n">
        <v>0</v>
      </c>
      <c r="R95" t="inlineStr">
        <is>
          <t>pass</t>
        </is>
      </c>
      <c r="S95" t="inlineStr"/>
      <c r="T95" t="inlineStr"/>
      <c r="V95">
        <f>(I95-O95)^2+(J95-P95)^2+(K95-Q95)^2</f>
        <v/>
      </c>
      <c r="W95">
        <f>IF(B95&lt;&gt;"KO","",IF(R95="pick",IF(VLOOKUP(A95,'Match Universe'!A:K,11,FALSE)=S95,"hit","miss"),IF(R95="pass","n/a","n/a")))</f>
        <v/>
      </c>
      <c r="X95" t="inlineStr">
        <is>
          <t>BACKTEST wc 2022</t>
        </is>
      </c>
    </row>
    <row r="96">
      <c r="A96" t="inlineStr">
        <is>
          <t>wc22-c-arg-mex-20221126</t>
        </is>
      </c>
      <c r="B96" t="inlineStr">
        <is>
          <t>T-1h</t>
        </is>
      </c>
      <c r="C96" t="n">
        <v>2142</v>
      </c>
      <c r="D96" t="n">
        <v>1870</v>
      </c>
      <c r="E96" t="n">
        <v>0</v>
      </c>
      <c r="F96" t="n">
        <v>8</v>
      </c>
      <c r="G96" t="n">
        <v>1</v>
      </c>
      <c r="H96" t="n">
        <v>1</v>
      </c>
      <c r="I96" t="n">
        <v>0.71402</v>
      </c>
      <c r="J96" t="n">
        <v>0.1368</v>
      </c>
      <c r="K96" t="n">
        <v>0.14918</v>
      </c>
      <c r="L96" t="n">
        <v>0.628487</v>
      </c>
      <c r="M96" t="n">
        <v>0.246621</v>
      </c>
      <c r="N96" t="n">
        <v>0.124892</v>
      </c>
      <c r="O96" t="n">
        <v>0</v>
      </c>
      <c r="P96" t="n">
        <v>0</v>
      </c>
      <c r="Q96" t="n">
        <v>0</v>
      </c>
      <c r="R96" t="inlineStr">
        <is>
          <t>pass</t>
        </is>
      </c>
      <c r="S96" t="inlineStr"/>
      <c r="T96" t="inlineStr"/>
      <c r="V96">
        <f>(I96-O96)^2+(J96-P96)^2+(K96-Q96)^2</f>
        <v/>
      </c>
      <c r="W96">
        <f>IF(B96&lt;&gt;"KO","",IF(R96="pick",IF(VLOOKUP(A96,'Match Universe'!A:K,11,FALSE)=S96,"hit","miss"),IF(R96="pass","n/a","n/a")))</f>
        <v/>
      </c>
      <c r="X96" t="inlineStr">
        <is>
          <t>BACKTEST wc 2022</t>
        </is>
      </c>
    </row>
    <row r="97">
      <c r="A97" t="inlineStr">
        <is>
          <t>wc22-c-arg-mex-20221126</t>
        </is>
      </c>
      <c r="B97" t="inlineStr">
        <is>
          <t>KO</t>
        </is>
      </c>
      <c r="C97" t="n">
        <v>2142</v>
      </c>
      <c r="D97" t="n">
        <v>1870</v>
      </c>
      <c r="E97" t="n">
        <v>0</v>
      </c>
      <c r="F97" t="n">
        <v>8</v>
      </c>
      <c r="G97" t="n">
        <v>1</v>
      </c>
      <c r="H97" t="n">
        <v>1</v>
      </c>
      <c r="I97" t="n">
        <v>0.71402</v>
      </c>
      <c r="J97" t="n">
        <v>0.1368</v>
      </c>
      <c r="K97" t="n">
        <v>0.14918</v>
      </c>
      <c r="L97" t="n">
        <v>0.628487</v>
      </c>
      <c r="M97" t="n">
        <v>0.246621</v>
      </c>
      <c r="N97" t="n">
        <v>0.124892</v>
      </c>
      <c r="O97" t="n">
        <v>1</v>
      </c>
      <c r="P97" t="n">
        <v>0</v>
      </c>
      <c r="Q97" t="n">
        <v>0</v>
      </c>
      <c r="R97" t="inlineStr">
        <is>
          <t>pass</t>
        </is>
      </c>
      <c r="S97" t="inlineStr"/>
      <c r="T97" t="inlineStr"/>
      <c r="V97">
        <f>(I97-O97)^2+(J97-P97)^2+(K97-Q97)^2</f>
        <v/>
      </c>
      <c r="W97">
        <f>IF(B97&lt;&gt;"KO","",IF(R97="pick",IF(VLOOKUP(A97,'Match Universe'!A:K,11,FALSE)=S97,"hit","miss"),IF(R97="pass","n/a","n/a")))</f>
        <v/>
      </c>
      <c r="X97" t="inlineStr">
        <is>
          <t>BACKTEST wc 2022</t>
        </is>
      </c>
    </row>
    <row r="98">
      <c r="A98" t="inlineStr">
        <is>
          <t>wc22-e-jpn-crc-20221127</t>
        </is>
      </c>
      <c r="B98" t="inlineStr">
        <is>
          <t>T-38</t>
        </is>
      </c>
      <c r="C98" t="n">
        <v>1812</v>
      </c>
      <c r="D98" t="n">
        <v>1741</v>
      </c>
      <c r="E98" t="n">
        <v>0</v>
      </c>
      <c r="F98" t="n">
        <v>18</v>
      </c>
      <c r="G98" t="n">
        <v>1</v>
      </c>
      <c r="H98" t="n">
        <v>1</v>
      </c>
      <c r="I98" t="n">
        <v>0.446138</v>
      </c>
      <c r="J98" t="n">
        <v>0.2574</v>
      </c>
      <c r="K98" t="n">
        <v>0.296462</v>
      </c>
      <c r="L98" t="n">
        <v>0.519329</v>
      </c>
      <c r="M98" t="n">
        <v>0.282576</v>
      </c>
      <c r="N98" t="n">
        <v>0.198095</v>
      </c>
      <c r="O98" t="n">
        <v>0</v>
      </c>
      <c r="P98" t="n">
        <v>0</v>
      </c>
      <c r="Q98" t="n">
        <v>0</v>
      </c>
      <c r="R98" t="inlineStr">
        <is>
          <t>pass</t>
        </is>
      </c>
      <c r="S98" t="inlineStr"/>
      <c r="T98" t="inlineStr"/>
      <c r="V98">
        <f>(I98-O98)^2+(J98-P98)^2+(K98-Q98)^2</f>
        <v/>
      </c>
      <c r="W98">
        <f>IF(B98&lt;&gt;"KO","",IF(R98="pick",IF(VLOOKUP(A98,'Match Universe'!A:K,11,FALSE)=S98,"hit","miss"),IF(R98="pass","n/a","n/a")))</f>
        <v/>
      </c>
      <c r="X98" t="inlineStr">
        <is>
          <t>BACKTEST wc 2022</t>
        </is>
      </c>
    </row>
    <row r="99">
      <c r="A99" t="inlineStr">
        <is>
          <t>wc22-e-jpn-crc-20221127</t>
        </is>
      </c>
      <c r="B99" t="inlineStr">
        <is>
          <t>T-5</t>
        </is>
      </c>
      <c r="C99" t="n">
        <v>1812</v>
      </c>
      <c r="D99" t="n">
        <v>1741</v>
      </c>
      <c r="E99" t="n">
        <v>0</v>
      </c>
      <c r="F99" t="n">
        <v>18</v>
      </c>
      <c r="G99" t="n">
        <v>1</v>
      </c>
      <c r="H99" t="n">
        <v>1</v>
      </c>
      <c r="I99" t="n">
        <v>0.446138</v>
      </c>
      <c r="J99" t="n">
        <v>0.2574</v>
      </c>
      <c r="K99" t="n">
        <v>0.296462</v>
      </c>
      <c r="L99" t="n">
        <v>0.519329</v>
      </c>
      <c r="M99" t="n">
        <v>0.282576</v>
      </c>
      <c r="N99" t="n">
        <v>0.198095</v>
      </c>
      <c r="O99" t="n">
        <v>0</v>
      </c>
      <c r="P99" t="n">
        <v>0</v>
      </c>
      <c r="Q99" t="n">
        <v>0</v>
      </c>
      <c r="R99" t="inlineStr">
        <is>
          <t>pass</t>
        </is>
      </c>
      <c r="S99" t="inlineStr"/>
      <c r="T99" t="inlineStr"/>
      <c r="V99">
        <f>(I99-O99)^2+(J99-P99)^2+(K99-Q99)^2</f>
        <v/>
      </c>
      <c r="W99">
        <f>IF(B99&lt;&gt;"KO","",IF(R99="pick",IF(VLOOKUP(A99,'Match Universe'!A:K,11,FALSE)=S99,"hit","miss"),IF(R99="pass","n/a","n/a")))</f>
        <v/>
      </c>
      <c r="X99" t="inlineStr">
        <is>
          <t>BACKTEST wc 2022</t>
        </is>
      </c>
    </row>
    <row r="100">
      <c r="A100" t="inlineStr">
        <is>
          <t>wc22-e-jpn-crc-20221127</t>
        </is>
      </c>
      <c r="B100" t="inlineStr">
        <is>
          <t>T-1h</t>
        </is>
      </c>
      <c r="C100" t="n">
        <v>1812</v>
      </c>
      <c r="D100" t="n">
        <v>1741</v>
      </c>
      <c r="E100" t="n">
        <v>0</v>
      </c>
      <c r="F100" t="n">
        <v>18</v>
      </c>
      <c r="G100" t="n">
        <v>1</v>
      </c>
      <c r="H100" t="n">
        <v>1</v>
      </c>
      <c r="I100" t="n">
        <v>0.446138</v>
      </c>
      <c r="J100" t="n">
        <v>0.2574</v>
      </c>
      <c r="K100" t="n">
        <v>0.296462</v>
      </c>
      <c r="L100" t="n">
        <v>0.519329</v>
      </c>
      <c r="M100" t="n">
        <v>0.282576</v>
      </c>
      <c r="N100" t="n">
        <v>0.198095</v>
      </c>
      <c r="O100" t="n">
        <v>0</v>
      </c>
      <c r="P100" t="n">
        <v>0</v>
      </c>
      <c r="Q100" t="n">
        <v>0</v>
      </c>
      <c r="R100" t="inlineStr">
        <is>
          <t>pass</t>
        </is>
      </c>
      <c r="S100" t="inlineStr"/>
      <c r="T100" t="inlineStr"/>
      <c r="V100">
        <f>(I100-O100)^2+(J100-P100)^2+(K100-Q100)^2</f>
        <v/>
      </c>
      <c r="W100">
        <f>IF(B100&lt;&gt;"KO","",IF(R100="pick",IF(VLOOKUP(A100,'Match Universe'!A:K,11,FALSE)=S100,"hit","miss"),IF(R100="pass","n/a","n/a")))</f>
        <v/>
      </c>
      <c r="X100" t="inlineStr">
        <is>
          <t>BACKTEST wc 2022</t>
        </is>
      </c>
    </row>
    <row r="101">
      <c r="A101" t="inlineStr">
        <is>
          <t>wc22-e-jpn-crc-20221127</t>
        </is>
      </c>
      <c r="B101" t="inlineStr">
        <is>
          <t>KO</t>
        </is>
      </c>
      <c r="C101" t="n">
        <v>1812</v>
      </c>
      <c r="D101" t="n">
        <v>1741</v>
      </c>
      <c r="E101" t="n">
        <v>0</v>
      </c>
      <c r="F101" t="n">
        <v>18</v>
      </c>
      <c r="G101" t="n">
        <v>1</v>
      </c>
      <c r="H101" t="n">
        <v>1</v>
      </c>
      <c r="I101" t="n">
        <v>0.446138</v>
      </c>
      <c r="J101" t="n">
        <v>0.2574</v>
      </c>
      <c r="K101" t="n">
        <v>0.296462</v>
      </c>
      <c r="L101" t="n">
        <v>0.519329</v>
      </c>
      <c r="M101" t="n">
        <v>0.282576</v>
      </c>
      <c r="N101" t="n">
        <v>0.198095</v>
      </c>
      <c r="O101" t="n">
        <v>0</v>
      </c>
      <c r="P101" t="n">
        <v>0</v>
      </c>
      <c r="Q101" t="n">
        <v>1</v>
      </c>
      <c r="R101" t="inlineStr">
        <is>
          <t>pass</t>
        </is>
      </c>
      <c r="S101" t="inlineStr"/>
      <c r="T101" t="inlineStr"/>
      <c r="V101">
        <f>(I101-O101)^2+(J101-P101)^2+(K101-Q101)^2</f>
        <v/>
      </c>
      <c r="W101">
        <f>IF(B101&lt;&gt;"KO","",IF(R101="pick",IF(VLOOKUP(A101,'Match Universe'!A:K,11,FALSE)=S101,"hit","miss"),IF(R101="pass","n/a","n/a")))</f>
        <v/>
      </c>
      <c r="X101" t="inlineStr">
        <is>
          <t>BACKTEST wc 2022</t>
        </is>
      </c>
    </row>
    <row r="102">
      <c r="A102" t="inlineStr">
        <is>
          <t>wc22-f-bel-mar-20221127</t>
        </is>
      </c>
      <c r="B102" t="inlineStr">
        <is>
          <t>T-38</t>
        </is>
      </c>
      <c r="C102" t="n">
        <v>2025</v>
      </c>
      <c r="D102" t="n">
        <v>1779</v>
      </c>
      <c r="E102" t="n">
        <v>0</v>
      </c>
      <c r="F102" t="n">
        <v>8</v>
      </c>
      <c r="G102" t="n">
        <v>1</v>
      </c>
      <c r="H102" t="n">
        <v>1</v>
      </c>
      <c r="I102" t="n">
        <v>0.6820850000000001</v>
      </c>
      <c r="J102" t="n">
        <v>0.1524</v>
      </c>
      <c r="K102" t="n">
        <v>0.165515</v>
      </c>
      <c r="L102" t="n">
        <v>0.578512</v>
      </c>
      <c r="M102" t="n">
        <v>0.247934</v>
      </c>
      <c r="N102" t="n">
        <v>0.173554</v>
      </c>
      <c r="O102" t="n">
        <v>0</v>
      </c>
      <c r="P102" t="n">
        <v>0</v>
      </c>
      <c r="Q102" t="n">
        <v>0</v>
      </c>
      <c r="R102" t="inlineStr">
        <is>
          <t>pass</t>
        </is>
      </c>
      <c r="S102" t="inlineStr"/>
      <c r="T102" t="inlineStr"/>
      <c r="V102">
        <f>(I102-O102)^2+(J102-P102)^2+(K102-Q102)^2</f>
        <v/>
      </c>
      <c r="W102">
        <f>IF(B102&lt;&gt;"KO","",IF(R102="pick",IF(VLOOKUP(A102,'Match Universe'!A:K,11,FALSE)=S102,"hit","miss"),IF(R102="pass","n/a","n/a")))</f>
        <v/>
      </c>
      <c r="X102" t="inlineStr">
        <is>
          <t>BACKTEST wc 2022</t>
        </is>
      </c>
    </row>
    <row r="103">
      <c r="A103" t="inlineStr">
        <is>
          <t>wc22-f-bel-mar-20221127</t>
        </is>
      </c>
      <c r="B103" t="inlineStr">
        <is>
          <t>T-5</t>
        </is>
      </c>
      <c r="C103" t="n">
        <v>2025</v>
      </c>
      <c r="D103" t="n">
        <v>1779</v>
      </c>
      <c r="E103" t="n">
        <v>0</v>
      </c>
      <c r="F103" t="n">
        <v>8</v>
      </c>
      <c r="G103" t="n">
        <v>1</v>
      </c>
      <c r="H103" t="n">
        <v>1</v>
      </c>
      <c r="I103" t="n">
        <v>0.6820850000000001</v>
      </c>
      <c r="J103" t="n">
        <v>0.1524</v>
      </c>
      <c r="K103" t="n">
        <v>0.165515</v>
      </c>
      <c r="L103" t="n">
        <v>0.578512</v>
      </c>
      <c r="M103" t="n">
        <v>0.247934</v>
      </c>
      <c r="N103" t="n">
        <v>0.173554</v>
      </c>
      <c r="O103" t="n">
        <v>0</v>
      </c>
      <c r="P103" t="n">
        <v>0</v>
      </c>
      <c r="Q103" t="n">
        <v>0</v>
      </c>
      <c r="R103" t="inlineStr">
        <is>
          <t>pass</t>
        </is>
      </c>
      <c r="S103" t="inlineStr"/>
      <c r="T103" t="inlineStr"/>
      <c r="V103">
        <f>(I103-O103)^2+(J103-P103)^2+(K103-Q103)^2</f>
        <v/>
      </c>
      <c r="W103">
        <f>IF(B103&lt;&gt;"KO","",IF(R103="pick",IF(VLOOKUP(A103,'Match Universe'!A:K,11,FALSE)=S103,"hit","miss"),IF(R103="pass","n/a","n/a")))</f>
        <v/>
      </c>
      <c r="X103" t="inlineStr">
        <is>
          <t>BACKTEST wc 2022</t>
        </is>
      </c>
    </row>
    <row r="104">
      <c r="A104" t="inlineStr">
        <is>
          <t>wc22-f-bel-mar-20221127</t>
        </is>
      </c>
      <c r="B104" t="inlineStr">
        <is>
          <t>T-1h</t>
        </is>
      </c>
      <c r="C104" t="n">
        <v>2025</v>
      </c>
      <c r="D104" t="n">
        <v>1779</v>
      </c>
      <c r="E104" t="n">
        <v>0</v>
      </c>
      <c r="F104" t="n">
        <v>8</v>
      </c>
      <c r="G104" t="n">
        <v>1</v>
      </c>
      <c r="H104" t="n">
        <v>1</v>
      </c>
      <c r="I104" t="n">
        <v>0.6820850000000001</v>
      </c>
      <c r="J104" t="n">
        <v>0.1524</v>
      </c>
      <c r="K104" t="n">
        <v>0.165515</v>
      </c>
      <c r="L104" t="n">
        <v>0.578512</v>
      </c>
      <c r="M104" t="n">
        <v>0.247934</v>
      </c>
      <c r="N104" t="n">
        <v>0.173554</v>
      </c>
      <c r="O104" t="n">
        <v>0</v>
      </c>
      <c r="P104" t="n">
        <v>0</v>
      </c>
      <c r="Q104" t="n">
        <v>0</v>
      </c>
      <c r="R104" t="inlineStr">
        <is>
          <t>pass</t>
        </is>
      </c>
      <c r="S104" t="inlineStr"/>
      <c r="T104" t="inlineStr"/>
      <c r="V104">
        <f>(I104-O104)^2+(J104-P104)^2+(K104-Q104)^2</f>
        <v/>
      </c>
      <c r="W104">
        <f>IF(B104&lt;&gt;"KO","",IF(R104="pick",IF(VLOOKUP(A104,'Match Universe'!A:K,11,FALSE)=S104,"hit","miss"),IF(R104="pass","n/a","n/a")))</f>
        <v/>
      </c>
      <c r="X104" t="inlineStr">
        <is>
          <t>BACKTEST wc 2022</t>
        </is>
      </c>
    </row>
    <row r="105">
      <c r="A105" t="inlineStr">
        <is>
          <t>wc22-f-bel-mar-20221127</t>
        </is>
      </c>
      <c r="B105" t="inlineStr">
        <is>
          <t>KO</t>
        </is>
      </c>
      <c r="C105" t="n">
        <v>2025</v>
      </c>
      <c r="D105" t="n">
        <v>1779</v>
      </c>
      <c r="E105" t="n">
        <v>0</v>
      </c>
      <c r="F105" t="n">
        <v>8</v>
      </c>
      <c r="G105" t="n">
        <v>1</v>
      </c>
      <c r="H105" t="n">
        <v>1</v>
      </c>
      <c r="I105" t="n">
        <v>0.6820850000000001</v>
      </c>
      <c r="J105" t="n">
        <v>0.1524</v>
      </c>
      <c r="K105" t="n">
        <v>0.165515</v>
      </c>
      <c r="L105" t="n">
        <v>0.578512</v>
      </c>
      <c r="M105" t="n">
        <v>0.247934</v>
      </c>
      <c r="N105" t="n">
        <v>0.173554</v>
      </c>
      <c r="O105" t="n">
        <v>0</v>
      </c>
      <c r="P105" t="n">
        <v>0</v>
      </c>
      <c r="Q105" t="n">
        <v>1</v>
      </c>
      <c r="R105" t="inlineStr">
        <is>
          <t>pass</t>
        </is>
      </c>
      <c r="S105" t="inlineStr"/>
      <c r="T105" t="inlineStr"/>
      <c r="V105">
        <f>(I105-O105)^2+(J105-P105)^2+(K105-Q105)^2</f>
        <v/>
      </c>
      <c r="W105">
        <f>IF(B105&lt;&gt;"KO","",IF(R105="pick",IF(VLOOKUP(A105,'Match Universe'!A:K,11,FALSE)=S105,"hit","miss"),IF(R105="pass","n/a","n/a")))</f>
        <v/>
      </c>
      <c r="X105" t="inlineStr">
        <is>
          <t>BACKTEST wc 2022</t>
        </is>
      </c>
    </row>
    <row r="106">
      <c r="A106" t="inlineStr">
        <is>
          <t>wc22-f-cro-can-20221127</t>
        </is>
      </c>
      <c r="B106" t="inlineStr">
        <is>
          <t>T-38</t>
        </is>
      </c>
      <c r="C106" t="n">
        <v>1920</v>
      </c>
      <c r="D106" t="n">
        <v>1748</v>
      </c>
      <c r="E106" t="n">
        <v>0</v>
      </c>
      <c r="F106" t="n">
        <v>12</v>
      </c>
      <c r="G106" t="n">
        <v>1</v>
      </c>
      <c r="H106" t="n">
        <v>1</v>
      </c>
      <c r="I106" t="n">
        <v>0.5856209999999999</v>
      </c>
      <c r="J106" t="n">
        <v>0.1968</v>
      </c>
      <c r="K106" t="n">
        <v>0.217579</v>
      </c>
      <c r="L106" t="n">
        <v>0.541442</v>
      </c>
      <c r="M106" t="n">
        <v>0.267713</v>
      </c>
      <c r="N106" t="n">
        <v>0.190845</v>
      </c>
      <c r="O106" t="n">
        <v>0</v>
      </c>
      <c r="P106" t="n">
        <v>0</v>
      </c>
      <c r="Q106" t="n">
        <v>0</v>
      </c>
      <c r="R106" t="inlineStr">
        <is>
          <t>pass</t>
        </is>
      </c>
      <c r="S106" t="inlineStr"/>
      <c r="T106" t="inlineStr"/>
      <c r="V106">
        <f>(I106-O106)^2+(J106-P106)^2+(K106-Q106)^2</f>
        <v/>
      </c>
      <c r="W106">
        <f>IF(B106&lt;&gt;"KO","",IF(R106="pick",IF(VLOOKUP(A106,'Match Universe'!A:K,11,FALSE)=S106,"hit","miss"),IF(R106="pass","n/a","n/a")))</f>
        <v/>
      </c>
      <c r="X106" t="inlineStr">
        <is>
          <t>BACKTEST wc 2022</t>
        </is>
      </c>
    </row>
    <row r="107">
      <c r="A107" t="inlineStr">
        <is>
          <t>wc22-f-cro-can-20221127</t>
        </is>
      </c>
      <c r="B107" t="inlineStr">
        <is>
          <t>T-5</t>
        </is>
      </c>
      <c r="C107" t="n">
        <v>1920</v>
      </c>
      <c r="D107" t="n">
        <v>1748</v>
      </c>
      <c r="E107" t="n">
        <v>0</v>
      </c>
      <c r="F107" t="n">
        <v>12</v>
      </c>
      <c r="G107" t="n">
        <v>1</v>
      </c>
      <c r="H107" t="n">
        <v>1</v>
      </c>
      <c r="I107" t="n">
        <v>0.5856209999999999</v>
      </c>
      <c r="J107" t="n">
        <v>0.1968</v>
      </c>
      <c r="K107" t="n">
        <v>0.217579</v>
      </c>
      <c r="L107" t="n">
        <v>0.541442</v>
      </c>
      <c r="M107" t="n">
        <v>0.267713</v>
      </c>
      <c r="N107" t="n">
        <v>0.190845</v>
      </c>
      <c r="O107" t="n">
        <v>0</v>
      </c>
      <c r="P107" t="n">
        <v>0</v>
      </c>
      <c r="Q107" t="n">
        <v>0</v>
      </c>
      <c r="R107" t="inlineStr">
        <is>
          <t>pass</t>
        </is>
      </c>
      <c r="S107" t="inlineStr"/>
      <c r="T107" t="inlineStr"/>
      <c r="V107">
        <f>(I107-O107)^2+(J107-P107)^2+(K107-Q107)^2</f>
        <v/>
      </c>
      <c r="W107">
        <f>IF(B107&lt;&gt;"KO","",IF(R107="pick",IF(VLOOKUP(A107,'Match Universe'!A:K,11,FALSE)=S107,"hit","miss"),IF(R107="pass","n/a","n/a")))</f>
        <v/>
      </c>
      <c r="X107" t="inlineStr">
        <is>
          <t>BACKTEST wc 2022</t>
        </is>
      </c>
    </row>
    <row r="108">
      <c r="A108" t="inlineStr">
        <is>
          <t>wc22-f-cro-can-20221127</t>
        </is>
      </c>
      <c r="B108" t="inlineStr">
        <is>
          <t>T-1h</t>
        </is>
      </c>
      <c r="C108" t="n">
        <v>1920</v>
      </c>
      <c r="D108" t="n">
        <v>1748</v>
      </c>
      <c r="E108" t="n">
        <v>0</v>
      </c>
      <c r="F108" t="n">
        <v>12</v>
      </c>
      <c r="G108" t="n">
        <v>1</v>
      </c>
      <c r="H108" t="n">
        <v>1</v>
      </c>
      <c r="I108" t="n">
        <v>0.5856209999999999</v>
      </c>
      <c r="J108" t="n">
        <v>0.1968</v>
      </c>
      <c r="K108" t="n">
        <v>0.217579</v>
      </c>
      <c r="L108" t="n">
        <v>0.541442</v>
      </c>
      <c r="M108" t="n">
        <v>0.267713</v>
      </c>
      <c r="N108" t="n">
        <v>0.190845</v>
      </c>
      <c r="O108" t="n">
        <v>0</v>
      </c>
      <c r="P108" t="n">
        <v>0</v>
      </c>
      <c r="Q108" t="n">
        <v>0</v>
      </c>
      <c r="R108" t="inlineStr">
        <is>
          <t>pass</t>
        </is>
      </c>
      <c r="S108" t="inlineStr"/>
      <c r="T108" t="inlineStr"/>
      <c r="V108">
        <f>(I108-O108)^2+(J108-P108)^2+(K108-Q108)^2</f>
        <v/>
      </c>
      <c r="W108">
        <f>IF(B108&lt;&gt;"KO","",IF(R108="pick",IF(VLOOKUP(A108,'Match Universe'!A:K,11,FALSE)=S108,"hit","miss"),IF(R108="pass","n/a","n/a")))</f>
        <v/>
      </c>
      <c r="X108" t="inlineStr">
        <is>
          <t>BACKTEST wc 2022</t>
        </is>
      </c>
    </row>
    <row r="109">
      <c r="A109" t="inlineStr">
        <is>
          <t>wc22-f-cro-can-20221127</t>
        </is>
      </c>
      <c r="B109" t="inlineStr">
        <is>
          <t>KO</t>
        </is>
      </c>
      <c r="C109" t="n">
        <v>1920</v>
      </c>
      <c r="D109" t="n">
        <v>1748</v>
      </c>
      <c r="E109" t="n">
        <v>0</v>
      </c>
      <c r="F109" t="n">
        <v>12</v>
      </c>
      <c r="G109" t="n">
        <v>1</v>
      </c>
      <c r="H109" t="n">
        <v>1</v>
      </c>
      <c r="I109" t="n">
        <v>0.5856209999999999</v>
      </c>
      <c r="J109" t="n">
        <v>0.1968</v>
      </c>
      <c r="K109" t="n">
        <v>0.217579</v>
      </c>
      <c r="L109" t="n">
        <v>0.541442</v>
      </c>
      <c r="M109" t="n">
        <v>0.267713</v>
      </c>
      <c r="N109" t="n">
        <v>0.190845</v>
      </c>
      <c r="O109" t="n">
        <v>1</v>
      </c>
      <c r="P109" t="n">
        <v>0</v>
      </c>
      <c r="Q109" t="n">
        <v>0</v>
      </c>
      <c r="R109" t="inlineStr">
        <is>
          <t>pass</t>
        </is>
      </c>
      <c r="S109" t="inlineStr"/>
      <c r="T109" t="inlineStr"/>
      <c r="V109">
        <f>(I109-O109)^2+(J109-P109)^2+(K109-Q109)^2</f>
        <v/>
      </c>
      <c r="W109">
        <f>IF(B109&lt;&gt;"KO","",IF(R109="pick",IF(VLOOKUP(A109,'Match Universe'!A:K,11,FALSE)=S109,"hit","miss"),IF(R109="pass","n/a","n/a")))</f>
        <v/>
      </c>
      <c r="X109" t="inlineStr">
        <is>
          <t>BACKTEST wc 2022</t>
        </is>
      </c>
    </row>
    <row r="110">
      <c r="A110" t="inlineStr">
        <is>
          <t>wc22-e-esp-ger-20221127</t>
        </is>
      </c>
      <c r="B110" t="inlineStr">
        <is>
          <t>T-38</t>
        </is>
      </c>
      <c r="C110" t="n">
        <v>2048</v>
      </c>
      <c r="D110" t="n">
        <v>1968</v>
      </c>
      <c r="E110" t="n">
        <v>0</v>
      </c>
      <c r="F110" t="n">
        <v>12</v>
      </c>
      <c r="G110" t="n">
        <v>1</v>
      </c>
      <c r="H110" t="n">
        <v>1</v>
      </c>
      <c r="I110" t="n">
        <v>0.458626</v>
      </c>
      <c r="J110" t="n">
        <v>0.252</v>
      </c>
      <c r="K110" t="n">
        <v>0.289374</v>
      </c>
      <c r="L110" t="n">
        <v>0.322787</v>
      </c>
      <c r="M110" t="n">
        <v>0.288552</v>
      </c>
      <c r="N110" t="n">
        <v>0.388662</v>
      </c>
      <c r="O110" t="n">
        <v>0</v>
      </c>
      <c r="P110" t="n">
        <v>0</v>
      </c>
      <c r="Q110" t="n">
        <v>0</v>
      </c>
      <c r="R110" t="inlineStr">
        <is>
          <t>pass</t>
        </is>
      </c>
      <c r="S110" t="inlineStr"/>
      <c r="T110" t="inlineStr"/>
      <c r="V110">
        <f>(I110-O110)^2+(J110-P110)^2+(K110-Q110)^2</f>
        <v/>
      </c>
      <c r="W110">
        <f>IF(B110&lt;&gt;"KO","",IF(R110="pick",IF(VLOOKUP(A110,'Match Universe'!A:K,11,FALSE)=S110,"hit","miss"),IF(R110="pass","n/a","n/a")))</f>
        <v/>
      </c>
      <c r="X110" t="inlineStr">
        <is>
          <t>BACKTEST wc 2022</t>
        </is>
      </c>
    </row>
    <row r="111">
      <c r="A111" t="inlineStr">
        <is>
          <t>wc22-e-esp-ger-20221127</t>
        </is>
      </c>
      <c r="B111" t="inlineStr">
        <is>
          <t>T-5</t>
        </is>
      </c>
      <c r="C111" t="n">
        <v>2048</v>
      </c>
      <c r="D111" t="n">
        <v>1968</v>
      </c>
      <c r="E111" t="n">
        <v>0</v>
      </c>
      <c r="F111" t="n">
        <v>12</v>
      </c>
      <c r="G111" t="n">
        <v>1</v>
      </c>
      <c r="H111" t="n">
        <v>1</v>
      </c>
      <c r="I111" t="n">
        <v>0.458626</v>
      </c>
      <c r="J111" t="n">
        <v>0.252</v>
      </c>
      <c r="K111" t="n">
        <v>0.289374</v>
      </c>
      <c r="L111" t="n">
        <v>0.322787</v>
      </c>
      <c r="M111" t="n">
        <v>0.288552</v>
      </c>
      <c r="N111" t="n">
        <v>0.388662</v>
      </c>
      <c r="O111" t="n">
        <v>0</v>
      </c>
      <c r="P111" t="n">
        <v>0</v>
      </c>
      <c r="Q111" t="n">
        <v>0</v>
      </c>
      <c r="R111" t="inlineStr">
        <is>
          <t>pass</t>
        </is>
      </c>
      <c r="S111" t="inlineStr"/>
      <c r="T111" t="inlineStr"/>
      <c r="V111">
        <f>(I111-O111)^2+(J111-P111)^2+(K111-Q111)^2</f>
        <v/>
      </c>
      <c r="W111">
        <f>IF(B111&lt;&gt;"KO","",IF(R111="pick",IF(VLOOKUP(A111,'Match Universe'!A:K,11,FALSE)=S111,"hit","miss"),IF(R111="pass","n/a","n/a")))</f>
        <v/>
      </c>
      <c r="X111" t="inlineStr">
        <is>
          <t>BACKTEST wc 2022</t>
        </is>
      </c>
    </row>
    <row r="112">
      <c r="A112" t="inlineStr">
        <is>
          <t>wc22-e-esp-ger-20221127</t>
        </is>
      </c>
      <c r="B112" t="inlineStr">
        <is>
          <t>T-1h</t>
        </is>
      </c>
      <c r="C112" t="n">
        <v>2048</v>
      </c>
      <c r="D112" t="n">
        <v>1968</v>
      </c>
      <c r="E112" t="n">
        <v>0</v>
      </c>
      <c r="F112" t="n">
        <v>12</v>
      </c>
      <c r="G112" t="n">
        <v>1</v>
      </c>
      <c r="H112" t="n">
        <v>1</v>
      </c>
      <c r="I112" t="n">
        <v>0.458626</v>
      </c>
      <c r="J112" t="n">
        <v>0.252</v>
      </c>
      <c r="K112" t="n">
        <v>0.289374</v>
      </c>
      <c r="L112" t="n">
        <v>0.322787</v>
      </c>
      <c r="M112" t="n">
        <v>0.288552</v>
      </c>
      <c r="N112" t="n">
        <v>0.388662</v>
      </c>
      <c r="O112" t="n">
        <v>0</v>
      </c>
      <c r="P112" t="n">
        <v>0</v>
      </c>
      <c r="Q112" t="n">
        <v>0</v>
      </c>
      <c r="R112" t="inlineStr">
        <is>
          <t>pass</t>
        </is>
      </c>
      <c r="S112" t="inlineStr"/>
      <c r="T112" t="inlineStr"/>
      <c r="V112">
        <f>(I112-O112)^2+(J112-P112)^2+(K112-Q112)^2</f>
        <v/>
      </c>
      <c r="W112">
        <f>IF(B112&lt;&gt;"KO","",IF(R112="pick",IF(VLOOKUP(A112,'Match Universe'!A:K,11,FALSE)=S112,"hit","miss"),IF(R112="pass","n/a","n/a")))</f>
        <v/>
      </c>
      <c r="X112" t="inlineStr">
        <is>
          <t>BACKTEST wc 2022</t>
        </is>
      </c>
    </row>
    <row r="113">
      <c r="A113" t="inlineStr">
        <is>
          <t>wc22-e-esp-ger-20221127</t>
        </is>
      </c>
      <c r="B113" t="inlineStr">
        <is>
          <t>KO</t>
        </is>
      </c>
      <c r="C113" t="n">
        <v>2048</v>
      </c>
      <c r="D113" t="n">
        <v>1968</v>
      </c>
      <c r="E113" t="n">
        <v>0</v>
      </c>
      <c r="F113" t="n">
        <v>12</v>
      </c>
      <c r="G113" t="n">
        <v>1</v>
      </c>
      <c r="H113" t="n">
        <v>1</v>
      </c>
      <c r="I113" t="n">
        <v>0.458626</v>
      </c>
      <c r="J113" t="n">
        <v>0.252</v>
      </c>
      <c r="K113" t="n">
        <v>0.289374</v>
      </c>
      <c r="L113" t="n">
        <v>0.322787</v>
      </c>
      <c r="M113" t="n">
        <v>0.288552</v>
      </c>
      <c r="N113" t="n">
        <v>0.388662</v>
      </c>
      <c r="O113" t="n">
        <v>0</v>
      </c>
      <c r="P113" t="n">
        <v>1</v>
      </c>
      <c r="Q113" t="n">
        <v>0</v>
      </c>
      <c r="R113" t="inlineStr">
        <is>
          <t>pass</t>
        </is>
      </c>
      <c r="S113" t="inlineStr"/>
      <c r="T113" t="inlineStr"/>
      <c r="V113">
        <f>(I113-O113)^2+(J113-P113)^2+(K113-Q113)^2</f>
        <v/>
      </c>
      <c r="W113">
        <f>IF(B113&lt;&gt;"KO","",IF(R113="pick",IF(VLOOKUP(A113,'Match Universe'!A:K,11,FALSE)=S113,"hit","miss"),IF(R113="pass","n/a","n/a")))</f>
        <v/>
      </c>
      <c r="X113" t="inlineStr">
        <is>
          <t>BACKTEST wc 2022</t>
        </is>
      </c>
    </row>
    <row r="114">
      <c r="A114" t="inlineStr">
        <is>
          <t>wc22-g-cmr-srb-20221128</t>
        </is>
      </c>
      <c r="B114" t="inlineStr">
        <is>
          <t>T-38</t>
        </is>
      </c>
      <c r="C114" t="n">
        <v>1739</v>
      </c>
      <c r="D114" t="n">
        <v>1804</v>
      </c>
      <c r="E114" t="n">
        <v>0</v>
      </c>
      <c r="F114" t="n">
        <v>8</v>
      </c>
      <c r="G114" t="n">
        <v>1</v>
      </c>
      <c r="H114" t="n">
        <v>1</v>
      </c>
      <c r="I114" t="n">
        <v>0.301167</v>
      </c>
      <c r="J114" t="n">
        <v>0.261</v>
      </c>
      <c r="K114" t="n">
        <v>0.437833</v>
      </c>
      <c r="L114" t="n">
        <v>0.247236</v>
      </c>
      <c r="M114" t="n">
        <v>0.288442</v>
      </c>
      <c r="N114" t="n">
        <v>0.464322</v>
      </c>
      <c r="O114" t="n">
        <v>0</v>
      </c>
      <c r="P114" t="n">
        <v>0</v>
      </c>
      <c r="Q114" t="n">
        <v>0</v>
      </c>
      <c r="R114" t="inlineStr">
        <is>
          <t>pass</t>
        </is>
      </c>
      <c r="S114" t="inlineStr"/>
      <c r="T114" t="inlineStr"/>
      <c r="V114">
        <f>(I114-O114)^2+(J114-P114)^2+(K114-Q114)^2</f>
        <v/>
      </c>
      <c r="W114">
        <f>IF(B114&lt;&gt;"KO","",IF(R114="pick",IF(VLOOKUP(A114,'Match Universe'!A:K,11,FALSE)=S114,"hit","miss"),IF(R114="pass","n/a","n/a")))</f>
        <v/>
      </c>
      <c r="X114" t="inlineStr">
        <is>
          <t>BACKTEST wc 2022</t>
        </is>
      </c>
    </row>
    <row r="115">
      <c r="A115" t="inlineStr">
        <is>
          <t>wc22-g-cmr-srb-20221128</t>
        </is>
      </c>
      <c r="B115" t="inlineStr">
        <is>
          <t>T-5</t>
        </is>
      </c>
      <c r="C115" t="n">
        <v>1739</v>
      </c>
      <c r="D115" t="n">
        <v>1804</v>
      </c>
      <c r="E115" t="n">
        <v>0</v>
      </c>
      <c r="F115" t="n">
        <v>8</v>
      </c>
      <c r="G115" t="n">
        <v>1</v>
      </c>
      <c r="H115" t="n">
        <v>1</v>
      </c>
      <c r="I115" t="n">
        <v>0.301167</v>
      </c>
      <c r="J115" t="n">
        <v>0.261</v>
      </c>
      <c r="K115" t="n">
        <v>0.437833</v>
      </c>
      <c r="L115" t="n">
        <v>0.247236</v>
      </c>
      <c r="M115" t="n">
        <v>0.288442</v>
      </c>
      <c r="N115" t="n">
        <v>0.464322</v>
      </c>
      <c r="O115" t="n">
        <v>0</v>
      </c>
      <c r="P115" t="n">
        <v>0</v>
      </c>
      <c r="Q115" t="n">
        <v>0</v>
      </c>
      <c r="R115" t="inlineStr">
        <is>
          <t>pass</t>
        </is>
      </c>
      <c r="S115" t="inlineStr"/>
      <c r="T115" t="inlineStr"/>
      <c r="V115">
        <f>(I115-O115)^2+(J115-P115)^2+(K115-Q115)^2</f>
        <v/>
      </c>
      <c r="W115">
        <f>IF(B115&lt;&gt;"KO","",IF(R115="pick",IF(VLOOKUP(A115,'Match Universe'!A:K,11,FALSE)=S115,"hit","miss"),IF(R115="pass","n/a","n/a")))</f>
        <v/>
      </c>
      <c r="X115" t="inlineStr">
        <is>
          <t>BACKTEST wc 2022</t>
        </is>
      </c>
    </row>
    <row r="116">
      <c r="A116" t="inlineStr">
        <is>
          <t>wc22-g-cmr-srb-20221128</t>
        </is>
      </c>
      <c r="B116" t="inlineStr">
        <is>
          <t>T-1h</t>
        </is>
      </c>
      <c r="C116" t="n">
        <v>1739</v>
      </c>
      <c r="D116" t="n">
        <v>1804</v>
      </c>
      <c r="E116" t="n">
        <v>0</v>
      </c>
      <c r="F116" t="n">
        <v>8</v>
      </c>
      <c r="G116" t="n">
        <v>1</v>
      </c>
      <c r="H116" t="n">
        <v>1</v>
      </c>
      <c r="I116" t="n">
        <v>0.301167</v>
      </c>
      <c r="J116" t="n">
        <v>0.261</v>
      </c>
      <c r="K116" t="n">
        <v>0.437833</v>
      </c>
      <c r="L116" t="n">
        <v>0.247236</v>
      </c>
      <c r="M116" t="n">
        <v>0.288442</v>
      </c>
      <c r="N116" t="n">
        <v>0.464322</v>
      </c>
      <c r="O116" t="n">
        <v>0</v>
      </c>
      <c r="P116" t="n">
        <v>0</v>
      </c>
      <c r="Q116" t="n">
        <v>0</v>
      </c>
      <c r="R116" t="inlineStr">
        <is>
          <t>pass</t>
        </is>
      </c>
      <c r="S116" t="inlineStr"/>
      <c r="T116" t="inlineStr"/>
      <c r="V116">
        <f>(I116-O116)^2+(J116-P116)^2+(K116-Q116)^2</f>
        <v/>
      </c>
      <c r="W116">
        <f>IF(B116&lt;&gt;"KO","",IF(R116="pick",IF(VLOOKUP(A116,'Match Universe'!A:K,11,FALSE)=S116,"hit","miss"),IF(R116="pass","n/a","n/a")))</f>
        <v/>
      </c>
      <c r="X116" t="inlineStr">
        <is>
          <t>BACKTEST wc 2022</t>
        </is>
      </c>
    </row>
    <row r="117">
      <c r="A117" t="inlineStr">
        <is>
          <t>wc22-g-cmr-srb-20221128</t>
        </is>
      </c>
      <c r="B117" t="inlineStr">
        <is>
          <t>KO</t>
        </is>
      </c>
      <c r="C117" t="n">
        <v>1739</v>
      </c>
      <c r="D117" t="n">
        <v>1804</v>
      </c>
      <c r="E117" t="n">
        <v>0</v>
      </c>
      <c r="F117" t="n">
        <v>8</v>
      </c>
      <c r="G117" t="n">
        <v>1</v>
      </c>
      <c r="H117" t="n">
        <v>1</v>
      </c>
      <c r="I117" t="n">
        <v>0.301167</v>
      </c>
      <c r="J117" t="n">
        <v>0.261</v>
      </c>
      <c r="K117" t="n">
        <v>0.437833</v>
      </c>
      <c r="L117" t="n">
        <v>0.247236</v>
      </c>
      <c r="M117" t="n">
        <v>0.288442</v>
      </c>
      <c r="N117" t="n">
        <v>0.464322</v>
      </c>
      <c r="O117" t="n">
        <v>0</v>
      </c>
      <c r="P117" t="n">
        <v>1</v>
      </c>
      <c r="Q117" t="n">
        <v>0</v>
      </c>
      <c r="R117" t="inlineStr">
        <is>
          <t>pass</t>
        </is>
      </c>
      <c r="S117" t="inlineStr"/>
      <c r="T117" t="inlineStr"/>
      <c r="V117">
        <f>(I117-O117)^2+(J117-P117)^2+(K117-Q117)^2</f>
        <v/>
      </c>
      <c r="W117">
        <f>IF(B117&lt;&gt;"KO","",IF(R117="pick",IF(VLOOKUP(A117,'Match Universe'!A:K,11,FALSE)=S117,"hit","miss"),IF(R117="pass","n/a","n/a")))</f>
        <v/>
      </c>
      <c r="X117" t="inlineStr">
        <is>
          <t>BACKTEST wc 2022</t>
        </is>
      </c>
    </row>
    <row r="118">
      <c r="A118" t="inlineStr">
        <is>
          <t>wc22-h-kor-gha-20221128</t>
        </is>
      </c>
      <c r="B118" t="inlineStr">
        <is>
          <t>T-38</t>
        </is>
      </c>
      <c r="C118" t="n">
        <v>1786</v>
      </c>
      <c r="D118" t="n">
        <v>1685</v>
      </c>
      <c r="E118" t="n">
        <v>0</v>
      </c>
      <c r="F118" t="n">
        <v>18</v>
      </c>
      <c r="G118" t="n">
        <v>1</v>
      </c>
      <c r="H118" t="n">
        <v>1</v>
      </c>
      <c r="I118" t="n">
        <v>0.487841</v>
      </c>
      <c r="J118" t="n">
        <v>0.2394</v>
      </c>
      <c r="K118" t="n">
        <v>0.272759</v>
      </c>
      <c r="L118" t="n">
        <v>0.443037</v>
      </c>
      <c r="M118" t="n">
        <v>0.288645</v>
      </c>
      <c r="N118" t="n">
        <v>0.268318</v>
      </c>
      <c r="O118" t="n">
        <v>0</v>
      </c>
      <c r="P118" t="n">
        <v>0</v>
      </c>
      <c r="Q118" t="n">
        <v>0</v>
      </c>
      <c r="R118" t="inlineStr">
        <is>
          <t>pass</t>
        </is>
      </c>
      <c r="S118" t="inlineStr"/>
      <c r="T118" t="inlineStr"/>
      <c r="V118">
        <f>(I118-O118)^2+(J118-P118)^2+(K118-Q118)^2</f>
        <v/>
      </c>
      <c r="W118">
        <f>IF(B118&lt;&gt;"KO","",IF(R118="pick",IF(VLOOKUP(A118,'Match Universe'!A:K,11,FALSE)=S118,"hit","miss"),IF(R118="pass","n/a","n/a")))</f>
        <v/>
      </c>
      <c r="X118" t="inlineStr">
        <is>
          <t>BACKTEST wc 2022</t>
        </is>
      </c>
    </row>
    <row r="119">
      <c r="A119" t="inlineStr">
        <is>
          <t>wc22-h-kor-gha-20221128</t>
        </is>
      </c>
      <c r="B119" t="inlineStr">
        <is>
          <t>T-5</t>
        </is>
      </c>
      <c r="C119" t="n">
        <v>1786</v>
      </c>
      <c r="D119" t="n">
        <v>1685</v>
      </c>
      <c r="E119" t="n">
        <v>0</v>
      </c>
      <c r="F119" t="n">
        <v>18</v>
      </c>
      <c r="G119" t="n">
        <v>1</v>
      </c>
      <c r="H119" t="n">
        <v>1</v>
      </c>
      <c r="I119" t="n">
        <v>0.487841</v>
      </c>
      <c r="J119" t="n">
        <v>0.2394</v>
      </c>
      <c r="K119" t="n">
        <v>0.272759</v>
      </c>
      <c r="L119" t="n">
        <v>0.443037</v>
      </c>
      <c r="M119" t="n">
        <v>0.288645</v>
      </c>
      <c r="N119" t="n">
        <v>0.268318</v>
      </c>
      <c r="O119" t="n">
        <v>0</v>
      </c>
      <c r="P119" t="n">
        <v>0</v>
      </c>
      <c r="Q119" t="n">
        <v>0</v>
      </c>
      <c r="R119" t="inlineStr">
        <is>
          <t>pass</t>
        </is>
      </c>
      <c r="S119" t="inlineStr"/>
      <c r="T119" t="inlineStr"/>
      <c r="V119">
        <f>(I119-O119)^2+(J119-P119)^2+(K119-Q119)^2</f>
        <v/>
      </c>
      <c r="W119">
        <f>IF(B119&lt;&gt;"KO","",IF(R119="pick",IF(VLOOKUP(A119,'Match Universe'!A:K,11,FALSE)=S119,"hit","miss"),IF(R119="pass","n/a","n/a")))</f>
        <v/>
      </c>
      <c r="X119" t="inlineStr">
        <is>
          <t>BACKTEST wc 2022</t>
        </is>
      </c>
    </row>
    <row r="120">
      <c r="A120" t="inlineStr">
        <is>
          <t>wc22-h-kor-gha-20221128</t>
        </is>
      </c>
      <c r="B120" t="inlineStr">
        <is>
          <t>T-1h</t>
        </is>
      </c>
      <c r="C120" t="n">
        <v>1786</v>
      </c>
      <c r="D120" t="n">
        <v>1685</v>
      </c>
      <c r="E120" t="n">
        <v>0</v>
      </c>
      <c r="F120" t="n">
        <v>18</v>
      </c>
      <c r="G120" t="n">
        <v>1</v>
      </c>
      <c r="H120" t="n">
        <v>1</v>
      </c>
      <c r="I120" t="n">
        <v>0.487841</v>
      </c>
      <c r="J120" t="n">
        <v>0.2394</v>
      </c>
      <c r="K120" t="n">
        <v>0.272759</v>
      </c>
      <c r="L120" t="n">
        <v>0.443037</v>
      </c>
      <c r="M120" t="n">
        <v>0.288645</v>
      </c>
      <c r="N120" t="n">
        <v>0.268318</v>
      </c>
      <c r="O120" t="n">
        <v>0</v>
      </c>
      <c r="P120" t="n">
        <v>0</v>
      </c>
      <c r="Q120" t="n">
        <v>0</v>
      </c>
      <c r="R120" t="inlineStr">
        <is>
          <t>pass</t>
        </is>
      </c>
      <c r="S120" t="inlineStr"/>
      <c r="T120" t="inlineStr"/>
      <c r="V120">
        <f>(I120-O120)^2+(J120-P120)^2+(K120-Q120)^2</f>
        <v/>
      </c>
      <c r="W120">
        <f>IF(B120&lt;&gt;"KO","",IF(R120="pick",IF(VLOOKUP(A120,'Match Universe'!A:K,11,FALSE)=S120,"hit","miss"),IF(R120="pass","n/a","n/a")))</f>
        <v/>
      </c>
      <c r="X120" t="inlineStr">
        <is>
          <t>BACKTEST wc 2022</t>
        </is>
      </c>
    </row>
    <row r="121">
      <c r="A121" t="inlineStr">
        <is>
          <t>wc22-h-kor-gha-20221128</t>
        </is>
      </c>
      <c r="B121" t="inlineStr">
        <is>
          <t>KO</t>
        </is>
      </c>
      <c r="C121" t="n">
        <v>1786</v>
      </c>
      <c r="D121" t="n">
        <v>1685</v>
      </c>
      <c r="E121" t="n">
        <v>0</v>
      </c>
      <c r="F121" t="n">
        <v>18</v>
      </c>
      <c r="G121" t="n">
        <v>1</v>
      </c>
      <c r="H121" t="n">
        <v>1</v>
      </c>
      <c r="I121" t="n">
        <v>0.487841</v>
      </c>
      <c r="J121" t="n">
        <v>0.2394</v>
      </c>
      <c r="K121" t="n">
        <v>0.272759</v>
      </c>
      <c r="L121" t="n">
        <v>0.443037</v>
      </c>
      <c r="M121" t="n">
        <v>0.288645</v>
      </c>
      <c r="N121" t="n">
        <v>0.268318</v>
      </c>
      <c r="O121" t="n">
        <v>0</v>
      </c>
      <c r="P121" t="n">
        <v>0</v>
      </c>
      <c r="Q121" t="n">
        <v>1</v>
      </c>
      <c r="R121" t="inlineStr">
        <is>
          <t>pass</t>
        </is>
      </c>
      <c r="S121" t="inlineStr"/>
      <c r="T121" t="inlineStr"/>
      <c r="V121">
        <f>(I121-O121)^2+(J121-P121)^2+(K121-Q121)^2</f>
        <v/>
      </c>
      <c r="W121">
        <f>IF(B121&lt;&gt;"KO","",IF(R121="pick",IF(VLOOKUP(A121,'Match Universe'!A:K,11,FALSE)=S121,"hit","miss"),IF(R121="pass","n/a","n/a")))</f>
        <v/>
      </c>
      <c r="X121" t="inlineStr">
        <is>
          <t>BACKTEST wc 2022</t>
        </is>
      </c>
    </row>
    <row r="122">
      <c r="A122" t="inlineStr">
        <is>
          <t>wc22-g-bra-sui-20221128</t>
        </is>
      </c>
      <c r="B122" t="inlineStr">
        <is>
          <t>T-38</t>
        </is>
      </c>
      <c r="C122" t="n">
        <v>2169</v>
      </c>
      <c r="D122" t="n">
        <v>1881</v>
      </c>
      <c r="E122" t="n">
        <v>0</v>
      </c>
      <c r="F122" t="n">
        <v>8</v>
      </c>
      <c r="G122" t="n">
        <v>1</v>
      </c>
      <c r="H122" t="n">
        <v>1</v>
      </c>
      <c r="I122" t="n">
        <v>0.733109</v>
      </c>
      <c r="J122" t="n">
        <v>0.1272</v>
      </c>
      <c r="K122" t="n">
        <v>0.139691</v>
      </c>
      <c r="L122" t="n">
        <v>0.621402</v>
      </c>
      <c r="M122" t="n">
        <v>0.250175</v>
      </c>
      <c r="N122" t="n">
        <v>0.128423</v>
      </c>
      <c r="O122" t="n">
        <v>0</v>
      </c>
      <c r="P122" t="n">
        <v>0</v>
      </c>
      <c r="Q122" t="n">
        <v>0</v>
      </c>
      <c r="R122" t="inlineStr">
        <is>
          <t>pass</t>
        </is>
      </c>
      <c r="S122" t="inlineStr"/>
      <c r="T122" t="inlineStr"/>
      <c r="V122">
        <f>(I122-O122)^2+(J122-P122)^2+(K122-Q122)^2</f>
        <v/>
      </c>
      <c r="W122">
        <f>IF(B122&lt;&gt;"KO","",IF(R122="pick",IF(VLOOKUP(A122,'Match Universe'!A:K,11,FALSE)=S122,"hit","miss"),IF(R122="pass","n/a","n/a")))</f>
        <v/>
      </c>
      <c r="X122" t="inlineStr">
        <is>
          <t>BACKTEST wc 2022</t>
        </is>
      </c>
    </row>
    <row r="123">
      <c r="A123" t="inlineStr">
        <is>
          <t>wc22-g-bra-sui-20221128</t>
        </is>
      </c>
      <c r="B123" t="inlineStr">
        <is>
          <t>T-5</t>
        </is>
      </c>
      <c r="C123" t="n">
        <v>2169</v>
      </c>
      <c r="D123" t="n">
        <v>1881</v>
      </c>
      <c r="E123" t="n">
        <v>0</v>
      </c>
      <c r="F123" t="n">
        <v>8</v>
      </c>
      <c r="G123" t="n">
        <v>1</v>
      </c>
      <c r="H123" t="n">
        <v>1</v>
      </c>
      <c r="I123" t="n">
        <v>0.733109</v>
      </c>
      <c r="J123" t="n">
        <v>0.1272</v>
      </c>
      <c r="K123" t="n">
        <v>0.139691</v>
      </c>
      <c r="L123" t="n">
        <v>0.621402</v>
      </c>
      <c r="M123" t="n">
        <v>0.250175</v>
      </c>
      <c r="N123" t="n">
        <v>0.128423</v>
      </c>
      <c r="O123" t="n">
        <v>0</v>
      </c>
      <c r="P123" t="n">
        <v>0</v>
      </c>
      <c r="Q123" t="n">
        <v>0</v>
      </c>
      <c r="R123" t="inlineStr">
        <is>
          <t>pass</t>
        </is>
      </c>
      <c r="S123" t="inlineStr"/>
      <c r="T123" t="inlineStr"/>
      <c r="V123">
        <f>(I123-O123)^2+(J123-P123)^2+(K123-Q123)^2</f>
        <v/>
      </c>
      <c r="W123">
        <f>IF(B123&lt;&gt;"KO","",IF(R123="pick",IF(VLOOKUP(A123,'Match Universe'!A:K,11,FALSE)=S123,"hit","miss"),IF(R123="pass","n/a","n/a")))</f>
        <v/>
      </c>
      <c r="X123" t="inlineStr">
        <is>
          <t>BACKTEST wc 2022</t>
        </is>
      </c>
    </row>
    <row r="124">
      <c r="A124" t="inlineStr">
        <is>
          <t>wc22-g-bra-sui-20221128</t>
        </is>
      </c>
      <c r="B124" t="inlineStr">
        <is>
          <t>T-1h</t>
        </is>
      </c>
      <c r="C124" t="n">
        <v>2169</v>
      </c>
      <c r="D124" t="n">
        <v>1881</v>
      </c>
      <c r="E124" t="n">
        <v>0</v>
      </c>
      <c r="F124" t="n">
        <v>8</v>
      </c>
      <c r="G124" t="n">
        <v>1</v>
      </c>
      <c r="H124" t="n">
        <v>1</v>
      </c>
      <c r="I124" t="n">
        <v>0.733109</v>
      </c>
      <c r="J124" t="n">
        <v>0.1272</v>
      </c>
      <c r="K124" t="n">
        <v>0.139691</v>
      </c>
      <c r="L124" t="n">
        <v>0.621402</v>
      </c>
      <c r="M124" t="n">
        <v>0.250175</v>
      </c>
      <c r="N124" t="n">
        <v>0.128423</v>
      </c>
      <c r="O124" t="n">
        <v>0</v>
      </c>
      <c r="P124" t="n">
        <v>0</v>
      </c>
      <c r="Q124" t="n">
        <v>0</v>
      </c>
      <c r="R124" t="inlineStr">
        <is>
          <t>pass</t>
        </is>
      </c>
      <c r="S124" t="inlineStr"/>
      <c r="T124" t="inlineStr"/>
      <c r="V124">
        <f>(I124-O124)^2+(J124-P124)^2+(K124-Q124)^2</f>
        <v/>
      </c>
      <c r="W124">
        <f>IF(B124&lt;&gt;"KO","",IF(R124="pick",IF(VLOOKUP(A124,'Match Universe'!A:K,11,FALSE)=S124,"hit","miss"),IF(R124="pass","n/a","n/a")))</f>
        <v/>
      </c>
      <c r="X124" t="inlineStr">
        <is>
          <t>BACKTEST wc 2022</t>
        </is>
      </c>
    </row>
    <row r="125">
      <c r="A125" t="inlineStr">
        <is>
          <t>wc22-g-bra-sui-20221128</t>
        </is>
      </c>
      <c r="B125" t="inlineStr">
        <is>
          <t>KO</t>
        </is>
      </c>
      <c r="C125" t="n">
        <v>2169</v>
      </c>
      <c r="D125" t="n">
        <v>1881</v>
      </c>
      <c r="E125" t="n">
        <v>0</v>
      </c>
      <c r="F125" t="n">
        <v>8</v>
      </c>
      <c r="G125" t="n">
        <v>1</v>
      </c>
      <c r="H125" t="n">
        <v>1</v>
      </c>
      <c r="I125" t="n">
        <v>0.733109</v>
      </c>
      <c r="J125" t="n">
        <v>0.1272</v>
      </c>
      <c r="K125" t="n">
        <v>0.139691</v>
      </c>
      <c r="L125" t="n">
        <v>0.621402</v>
      </c>
      <c r="M125" t="n">
        <v>0.250175</v>
      </c>
      <c r="N125" t="n">
        <v>0.128423</v>
      </c>
      <c r="O125" t="n">
        <v>1</v>
      </c>
      <c r="P125" t="n">
        <v>0</v>
      </c>
      <c r="Q125" t="n">
        <v>0</v>
      </c>
      <c r="R125" t="inlineStr">
        <is>
          <t>pass</t>
        </is>
      </c>
      <c r="S125" t="inlineStr"/>
      <c r="T125" t="inlineStr"/>
      <c r="V125">
        <f>(I125-O125)^2+(J125-P125)^2+(K125-Q125)^2</f>
        <v/>
      </c>
      <c r="W125">
        <f>IF(B125&lt;&gt;"KO","",IF(R125="pick",IF(VLOOKUP(A125,'Match Universe'!A:K,11,FALSE)=S125,"hit","miss"),IF(R125="pass","n/a","n/a")))</f>
        <v/>
      </c>
      <c r="X125" t="inlineStr">
        <is>
          <t>BACKTEST wc 2022</t>
        </is>
      </c>
    </row>
    <row r="126">
      <c r="A126" t="inlineStr">
        <is>
          <t>wc22-h-por-uru-20221128</t>
        </is>
      </c>
      <c r="B126" t="inlineStr">
        <is>
          <t>T-38</t>
        </is>
      </c>
      <c r="C126" t="n">
        <v>2040</v>
      </c>
      <c r="D126" t="n">
        <v>1909</v>
      </c>
      <c r="E126" t="n">
        <v>0</v>
      </c>
      <c r="F126" t="n">
        <v>8</v>
      </c>
      <c r="G126" t="n">
        <v>1</v>
      </c>
      <c r="H126" t="n">
        <v>1</v>
      </c>
      <c r="I126" t="n">
        <v>0.5295029999999999</v>
      </c>
      <c r="J126" t="n">
        <v>0.2214</v>
      </c>
      <c r="K126" t="n">
        <v>0.249097</v>
      </c>
      <c r="L126" t="n">
        <v>0.433422</v>
      </c>
      <c r="M126" t="n">
        <v>0.297978</v>
      </c>
      <c r="N126" t="n">
        <v>0.2686</v>
      </c>
      <c r="O126" t="n">
        <v>0</v>
      </c>
      <c r="P126" t="n">
        <v>0</v>
      </c>
      <c r="Q126" t="n">
        <v>0</v>
      </c>
      <c r="R126" t="inlineStr">
        <is>
          <t>pass</t>
        </is>
      </c>
      <c r="S126" t="inlineStr"/>
      <c r="T126" t="inlineStr"/>
      <c r="V126">
        <f>(I126-O126)^2+(J126-P126)^2+(K126-Q126)^2</f>
        <v/>
      </c>
      <c r="W126">
        <f>IF(B126&lt;&gt;"KO","",IF(R126="pick",IF(VLOOKUP(A126,'Match Universe'!A:K,11,FALSE)=S126,"hit","miss"),IF(R126="pass","n/a","n/a")))</f>
        <v/>
      </c>
      <c r="X126" t="inlineStr">
        <is>
          <t>BACKTEST wc 2022</t>
        </is>
      </c>
    </row>
    <row r="127">
      <c r="A127" t="inlineStr">
        <is>
          <t>wc22-h-por-uru-20221128</t>
        </is>
      </c>
      <c r="B127" t="inlineStr">
        <is>
          <t>T-5</t>
        </is>
      </c>
      <c r="C127" t="n">
        <v>2040</v>
      </c>
      <c r="D127" t="n">
        <v>1909</v>
      </c>
      <c r="E127" t="n">
        <v>0</v>
      </c>
      <c r="F127" t="n">
        <v>8</v>
      </c>
      <c r="G127" t="n">
        <v>1</v>
      </c>
      <c r="H127" t="n">
        <v>1</v>
      </c>
      <c r="I127" t="n">
        <v>0.5295029999999999</v>
      </c>
      <c r="J127" t="n">
        <v>0.2214</v>
      </c>
      <c r="K127" t="n">
        <v>0.249097</v>
      </c>
      <c r="L127" t="n">
        <v>0.433422</v>
      </c>
      <c r="M127" t="n">
        <v>0.297978</v>
      </c>
      <c r="N127" t="n">
        <v>0.2686</v>
      </c>
      <c r="O127" t="n">
        <v>0</v>
      </c>
      <c r="P127" t="n">
        <v>0</v>
      </c>
      <c r="Q127" t="n">
        <v>0</v>
      </c>
      <c r="R127" t="inlineStr">
        <is>
          <t>pass</t>
        </is>
      </c>
      <c r="S127" t="inlineStr"/>
      <c r="T127" t="inlineStr"/>
      <c r="V127">
        <f>(I127-O127)^2+(J127-P127)^2+(K127-Q127)^2</f>
        <v/>
      </c>
      <c r="W127">
        <f>IF(B127&lt;&gt;"KO","",IF(R127="pick",IF(VLOOKUP(A127,'Match Universe'!A:K,11,FALSE)=S127,"hit","miss"),IF(R127="pass","n/a","n/a")))</f>
        <v/>
      </c>
      <c r="X127" t="inlineStr">
        <is>
          <t>BACKTEST wc 2022</t>
        </is>
      </c>
    </row>
    <row r="128">
      <c r="A128" t="inlineStr">
        <is>
          <t>wc22-h-por-uru-20221128</t>
        </is>
      </c>
      <c r="B128" t="inlineStr">
        <is>
          <t>T-1h</t>
        </is>
      </c>
      <c r="C128" t="n">
        <v>2040</v>
      </c>
      <c r="D128" t="n">
        <v>1909</v>
      </c>
      <c r="E128" t="n">
        <v>0</v>
      </c>
      <c r="F128" t="n">
        <v>8</v>
      </c>
      <c r="G128" t="n">
        <v>1</v>
      </c>
      <c r="H128" t="n">
        <v>1</v>
      </c>
      <c r="I128" t="n">
        <v>0.5295029999999999</v>
      </c>
      <c r="J128" t="n">
        <v>0.2214</v>
      </c>
      <c r="K128" t="n">
        <v>0.249097</v>
      </c>
      <c r="L128" t="n">
        <v>0.433422</v>
      </c>
      <c r="M128" t="n">
        <v>0.297978</v>
      </c>
      <c r="N128" t="n">
        <v>0.2686</v>
      </c>
      <c r="O128" t="n">
        <v>0</v>
      </c>
      <c r="P128" t="n">
        <v>0</v>
      </c>
      <c r="Q128" t="n">
        <v>0</v>
      </c>
      <c r="R128" t="inlineStr">
        <is>
          <t>pass</t>
        </is>
      </c>
      <c r="S128" t="inlineStr"/>
      <c r="T128" t="inlineStr"/>
      <c r="V128">
        <f>(I128-O128)^2+(J128-P128)^2+(K128-Q128)^2</f>
        <v/>
      </c>
      <c r="W128">
        <f>IF(B128&lt;&gt;"KO","",IF(R128="pick",IF(VLOOKUP(A128,'Match Universe'!A:K,11,FALSE)=S128,"hit","miss"),IF(R128="pass","n/a","n/a")))</f>
        <v/>
      </c>
      <c r="X128" t="inlineStr">
        <is>
          <t>BACKTEST wc 2022</t>
        </is>
      </c>
    </row>
    <row r="129">
      <c r="A129" t="inlineStr">
        <is>
          <t>wc22-h-por-uru-20221128</t>
        </is>
      </c>
      <c r="B129" t="inlineStr">
        <is>
          <t>KO</t>
        </is>
      </c>
      <c r="C129" t="n">
        <v>2040</v>
      </c>
      <c r="D129" t="n">
        <v>1909</v>
      </c>
      <c r="E129" t="n">
        <v>0</v>
      </c>
      <c r="F129" t="n">
        <v>8</v>
      </c>
      <c r="G129" t="n">
        <v>1</v>
      </c>
      <c r="H129" t="n">
        <v>1</v>
      </c>
      <c r="I129" t="n">
        <v>0.5295029999999999</v>
      </c>
      <c r="J129" t="n">
        <v>0.2214</v>
      </c>
      <c r="K129" t="n">
        <v>0.249097</v>
      </c>
      <c r="L129" t="n">
        <v>0.433422</v>
      </c>
      <c r="M129" t="n">
        <v>0.297978</v>
      </c>
      <c r="N129" t="n">
        <v>0.2686</v>
      </c>
      <c r="O129" t="n">
        <v>1</v>
      </c>
      <c r="P129" t="n">
        <v>0</v>
      </c>
      <c r="Q129" t="n">
        <v>0</v>
      </c>
      <c r="R129" t="inlineStr">
        <is>
          <t>pass</t>
        </is>
      </c>
      <c r="S129" t="inlineStr"/>
      <c r="T129" t="inlineStr"/>
      <c r="V129">
        <f>(I129-O129)^2+(J129-P129)^2+(K129-Q129)^2</f>
        <v/>
      </c>
      <c r="W129">
        <f>IF(B129&lt;&gt;"KO","",IF(R129="pick",IF(VLOOKUP(A129,'Match Universe'!A:K,11,FALSE)=S129,"hit","miss"),IF(R129="pass","n/a","n/a")))</f>
        <v/>
      </c>
      <c r="X129" t="inlineStr">
        <is>
          <t>BACKTEST wc 2022</t>
        </is>
      </c>
    </row>
    <row r="130">
      <c r="A130" t="inlineStr">
        <is>
          <t>wc22-a-ned-qat-20221129</t>
        </is>
      </c>
      <c r="B130" t="inlineStr">
        <is>
          <t>T-38</t>
        </is>
      </c>
      <c r="C130" t="n">
        <v>2040</v>
      </c>
      <c r="D130" t="n">
        <v>1680</v>
      </c>
      <c r="E130" t="n">
        <v>75</v>
      </c>
      <c r="F130" t="n">
        <v>12</v>
      </c>
      <c r="G130" t="n">
        <v>1</v>
      </c>
      <c r="H130" t="n">
        <v>1</v>
      </c>
      <c r="I130" t="n">
        <v>0.729563</v>
      </c>
      <c r="J130" t="n">
        <v>0.129</v>
      </c>
      <c r="K130" t="n">
        <v>0.141437</v>
      </c>
      <c r="L130" t="n">
        <v>0.807765</v>
      </c>
      <c r="M130" t="n">
        <v>0.136166</v>
      </c>
      <c r="N130" t="n">
        <v>0.056068</v>
      </c>
      <c r="O130" t="n">
        <v>0</v>
      </c>
      <c r="P130" t="n">
        <v>0</v>
      </c>
      <c r="Q130" t="n">
        <v>0</v>
      </c>
      <c r="R130" t="inlineStr">
        <is>
          <t>pick</t>
        </is>
      </c>
      <c r="S130" t="inlineStr">
        <is>
          <t>Qatar</t>
        </is>
      </c>
      <c r="T130" t="inlineStr">
        <is>
          <t>polymarket</t>
        </is>
      </c>
      <c r="U130" t="n">
        <v>8.539999999999999</v>
      </c>
      <c r="V130">
        <f>(I130-O130)^2+(J130-P130)^2+(K130-Q130)^2</f>
        <v/>
      </c>
      <c r="W130">
        <f>IF(B130&lt;&gt;"KO","",IF(R130="pick",IF(VLOOKUP(A130,'Match Universe'!A:K,11,FALSE)=S130,"hit","miss"),IF(R130="pass","n/a","n/a")))</f>
        <v/>
      </c>
      <c r="X130" t="inlineStr">
        <is>
          <t>BACKTEST wc 2022</t>
        </is>
      </c>
    </row>
    <row r="131">
      <c r="A131" t="inlineStr">
        <is>
          <t>wc22-a-ned-qat-20221129</t>
        </is>
      </c>
      <c r="B131" t="inlineStr">
        <is>
          <t>T-5</t>
        </is>
      </c>
      <c r="C131" t="n">
        <v>2040</v>
      </c>
      <c r="D131" t="n">
        <v>1680</v>
      </c>
      <c r="E131" t="n">
        <v>75</v>
      </c>
      <c r="F131" t="n">
        <v>12</v>
      </c>
      <c r="G131" t="n">
        <v>1</v>
      </c>
      <c r="H131" t="n">
        <v>1</v>
      </c>
      <c r="I131" t="n">
        <v>0.729563</v>
      </c>
      <c r="J131" t="n">
        <v>0.129</v>
      </c>
      <c r="K131" t="n">
        <v>0.141437</v>
      </c>
      <c r="L131" t="n">
        <v>0.807765</v>
      </c>
      <c r="M131" t="n">
        <v>0.136166</v>
      </c>
      <c r="N131" t="n">
        <v>0.056068</v>
      </c>
      <c r="O131" t="n">
        <v>0</v>
      </c>
      <c r="P131" t="n">
        <v>0</v>
      </c>
      <c r="Q131" t="n">
        <v>0</v>
      </c>
      <c r="R131" t="inlineStr">
        <is>
          <t>pick</t>
        </is>
      </c>
      <c r="S131" t="inlineStr">
        <is>
          <t>Qatar</t>
        </is>
      </c>
      <c r="T131" t="inlineStr">
        <is>
          <t>polymarket</t>
        </is>
      </c>
      <c r="U131" t="n">
        <v>8.539999999999999</v>
      </c>
      <c r="V131">
        <f>(I131-O131)^2+(J131-P131)^2+(K131-Q131)^2</f>
        <v/>
      </c>
      <c r="W131">
        <f>IF(B131&lt;&gt;"KO","",IF(R131="pick",IF(VLOOKUP(A131,'Match Universe'!A:K,11,FALSE)=S131,"hit","miss"),IF(R131="pass","n/a","n/a")))</f>
        <v/>
      </c>
      <c r="X131" t="inlineStr">
        <is>
          <t>BACKTEST wc 2022</t>
        </is>
      </c>
    </row>
    <row r="132">
      <c r="A132" t="inlineStr">
        <is>
          <t>wc22-a-ned-qat-20221129</t>
        </is>
      </c>
      <c r="B132" t="inlineStr">
        <is>
          <t>T-1h</t>
        </is>
      </c>
      <c r="C132" t="n">
        <v>2040</v>
      </c>
      <c r="D132" t="n">
        <v>1680</v>
      </c>
      <c r="E132" t="n">
        <v>75</v>
      </c>
      <c r="F132" t="n">
        <v>12</v>
      </c>
      <c r="G132" t="n">
        <v>1</v>
      </c>
      <c r="H132" t="n">
        <v>1</v>
      </c>
      <c r="I132" t="n">
        <v>0.729563</v>
      </c>
      <c r="J132" t="n">
        <v>0.129</v>
      </c>
      <c r="K132" t="n">
        <v>0.141437</v>
      </c>
      <c r="L132" t="n">
        <v>0.807765</v>
      </c>
      <c r="M132" t="n">
        <v>0.136166</v>
      </c>
      <c r="N132" t="n">
        <v>0.056068</v>
      </c>
      <c r="O132" t="n">
        <v>0</v>
      </c>
      <c r="P132" t="n">
        <v>0</v>
      </c>
      <c r="Q132" t="n">
        <v>0</v>
      </c>
      <c r="R132" t="inlineStr">
        <is>
          <t>pick</t>
        </is>
      </c>
      <c r="S132" t="inlineStr">
        <is>
          <t>Qatar</t>
        </is>
      </c>
      <c r="T132" t="inlineStr">
        <is>
          <t>polymarket</t>
        </is>
      </c>
      <c r="U132" t="n">
        <v>8.539999999999999</v>
      </c>
      <c r="V132">
        <f>(I132-O132)^2+(J132-P132)^2+(K132-Q132)^2</f>
        <v/>
      </c>
      <c r="W132">
        <f>IF(B132&lt;&gt;"KO","",IF(R132="pick",IF(VLOOKUP(A132,'Match Universe'!A:K,11,FALSE)=S132,"hit","miss"),IF(R132="pass","n/a","n/a")))</f>
        <v/>
      </c>
      <c r="X132" t="inlineStr">
        <is>
          <t>BACKTEST wc 2022</t>
        </is>
      </c>
    </row>
    <row r="133">
      <c r="A133" t="inlineStr">
        <is>
          <t>wc22-a-ned-qat-20221129</t>
        </is>
      </c>
      <c r="B133" t="inlineStr">
        <is>
          <t>KO</t>
        </is>
      </c>
      <c r="C133" t="n">
        <v>2040</v>
      </c>
      <c r="D133" t="n">
        <v>1680</v>
      </c>
      <c r="E133" t="n">
        <v>75</v>
      </c>
      <c r="F133" t="n">
        <v>12</v>
      </c>
      <c r="G133" t="n">
        <v>1</v>
      </c>
      <c r="H133" t="n">
        <v>1</v>
      </c>
      <c r="I133" t="n">
        <v>0.729563</v>
      </c>
      <c r="J133" t="n">
        <v>0.129</v>
      </c>
      <c r="K133" t="n">
        <v>0.141437</v>
      </c>
      <c r="L133" t="n">
        <v>0.807765</v>
      </c>
      <c r="M133" t="n">
        <v>0.136166</v>
      </c>
      <c r="N133" t="n">
        <v>0.056068</v>
      </c>
      <c r="O133" t="n">
        <v>1</v>
      </c>
      <c r="P133" t="n">
        <v>0</v>
      </c>
      <c r="Q133" t="n">
        <v>0</v>
      </c>
      <c r="R133" t="inlineStr">
        <is>
          <t>pick</t>
        </is>
      </c>
      <c r="S133" t="inlineStr">
        <is>
          <t>Qatar</t>
        </is>
      </c>
      <c r="T133" t="inlineStr">
        <is>
          <t>polymarket</t>
        </is>
      </c>
      <c r="U133" t="n">
        <v>8.539999999999999</v>
      </c>
      <c r="V133">
        <f>(I133-O133)^2+(J133-P133)^2+(K133-Q133)^2</f>
        <v/>
      </c>
      <c r="W133">
        <f>IF(B133&lt;&gt;"KO","",IF(R133="pick",IF(VLOOKUP(A133,'Match Universe'!A:K,11,FALSE)=S133,"hit","miss"),IF(R133="pass","n/a","n/a")))</f>
        <v/>
      </c>
      <c r="X133" t="inlineStr">
        <is>
          <t>BACKTEST wc 2022</t>
        </is>
      </c>
    </row>
    <row r="134">
      <c r="A134" t="inlineStr">
        <is>
          <t>wc22-a-ecu-sen-20221129</t>
        </is>
      </c>
      <c r="B134" t="inlineStr">
        <is>
          <t>T-38</t>
        </is>
      </c>
      <c r="C134" t="n">
        <v>1820</v>
      </c>
      <c r="D134" t="n">
        <v>1858</v>
      </c>
      <c r="E134" t="n">
        <v>0</v>
      </c>
      <c r="F134" t="n">
        <v>8</v>
      </c>
      <c r="G134" t="n">
        <v>1</v>
      </c>
      <c r="H134" t="n">
        <v>1</v>
      </c>
      <c r="I134" t="n">
        <v>0.32203</v>
      </c>
      <c r="J134" t="n">
        <v>0.2772</v>
      </c>
      <c r="K134" t="n">
        <v>0.40077</v>
      </c>
      <c r="L134" t="n">
        <v>0.382716</v>
      </c>
      <c r="M134" t="n">
        <v>0.308642</v>
      </c>
      <c r="N134" t="n">
        <v>0.308642</v>
      </c>
      <c r="O134" t="n">
        <v>0</v>
      </c>
      <c r="P134" t="n">
        <v>0</v>
      </c>
      <c r="Q134" t="n">
        <v>0</v>
      </c>
      <c r="R134" t="inlineStr">
        <is>
          <t>pass</t>
        </is>
      </c>
      <c r="S134" t="inlineStr"/>
      <c r="T134" t="inlineStr"/>
      <c r="V134">
        <f>(I134-O134)^2+(J134-P134)^2+(K134-Q134)^2</f>
        <v/>
      </c>
      <c r="W134">
        <f>IF(B134&lt;&gt;"KO","",IF(R134="pick",IF(VLOOKUP(A134,'Match Universe'!A:K,11,FALSE)=S134,"hit","miss"),IF(R134="pass","n/a","n/a")))</f>
        <v/>
      </c>
      <c r="X134" t="inlineStr">
        <is>
          <t>BACKTEST wc 2022</t>
        </is>
      </c>
    </row>
    <row r="135">
      <c r="A135" t="inlineStr">
        <is>
          <t>wc22-a-ecu-sen-20221129</t>
        </is>
      </c>
      <c r="B135" t="inlineStr">
        <is>
          <t>T-5</t>
        </is>
      </c>
      <c r="C135" t="n">
        <v>1820</v>
      </c>
      <c r="D135" t="n">
        <v>1858</v>
      </c>
      <c r="E135" t="n">
        <v>0</v>
      </c>
      <c r="F135" t="n">
        <v>8</v>
      </c>
      <c r="G135" t="n">
        <v>1</v>
      </c>
      <c r="H135" t="n">
        <v>1</v>
      </c>
      <c r="I135" t="n">
        <v>0.32203</v>
      </c>
      <c r="J135" t="n">
        <v>0.2772</v>
      </c>
      <c r="K135" t="n">
        <v>0.40077</v>
      </c>
      <c r="L135" t="n">
        <v>0.382716</v>
      </c>
      <c r="M135" t="n">
        <v>0.308642</v>
      </c>
      <c r="N135" t="n">
        <v>0.308642</v>
      </c>
      <c r="O135" t="n">
        <v>0</v>
      </c>
      <c r="P135" t="n">
        <v>0</v>
      </c>
      <c r="Q135" t="n">
        <v>0</v>
      </c>
      <c r="R135" t="inlineStr">
        <is>
          <t>pass</t>
        </is>
      </c>
      <c r="S135" t="inlineStr"/>
      <c r="T135" t="inlineStr"/>
      <c r="V135">
        <f>(I135-O135)^2+(J135-P135)^2+(K135-Q135)^2</f>
        <v/>
      </c>
      <c r="W135">
        <f>IF(B135&lt;&gt;"KO","",IF(R135="pick",IF(VLOOKUP(A135,'Match Universe'!A:K,11,FALSE)=S135,"hit","miss"),IF(R135="pass","n/a","n/a")))</f>
        <v/>
      </c>
      <c r="X135" t="inlineStr">
        <is>
          <t>BACKTEST wc 2022</t>
        </is>
      </c>
    </row>
    <row r="136">
      <c r="A136" t="inlineStr">
        <is>
          <t>wc22-a-ecu-sen-20221129</t>
        </is>
      </c>
      <c r="B136" t="inlineStr">
        <is>
          <t>T-1h</t>
        </is>
      </c>
      <c r="C136" t="n">
        <v>1820</v>
      </c>
      <c r="D136" t="n">
        <v>1858</v>
      </c>
      <c r="E136" t="n">
        <v>0</v>
      </c>
      <c r="F136" t="n">
        <v>8</v>
      </c>
      <c r="G136" t="n">
        <v>1</v>
      </c>
      <c r="H136" t="n">
        <v>1</v>
      </c>
      <c r="I136" t="n">
        <v>0.32203</v>
      </c>
      <c r="J136" t="n">
        <v>0.2772</v>
      </c>
      <c r="K136" t="n">
        <v>0.40077</v>
      </c>
      <c r="L136" t="n">
        <v>0.382716</v>
      </c>
      <c r="M136" t="n">
        <v>0.308642</v>
      </c>
      <c r="N136" t="n">
        <v>0.308642</v>
      </c>
      <c r="O136" t="n">
        <v>0</v>
      </c>
      <c r="P136" t="n">
        <v>0</v>
      </c>
      <c r="Q136" t="n">
        <v>0</v>
      </c>
      <c r="R136" t="inlineStr">
        <is>
          <t>pass</t>
        </is>
      </c>
      <c r="S136" t="inlineStr"/>
      <c r="T136" t="inlineStr"/>
      <c r="V136">
        <f>(I136-O136)^2+(J136-P136)^2+(K136-Q136)^2</f>
        <v/>
      </c>
      <c r="W136">
        <f>IF(B136&lt;&gt;"KO","",IF(R136="pick",IF(VLOOKUP(A136,'Match Universe'!A:K,11,FALSE)=S136,"hit","miss"),IF(R136="pass","n/a","n/a")))</f>
        <v/>
      </c>
      <c r="X136" t="inlineStr">
        <is>
          <t>BACKTEST wc 2022</t>
        </is>
      </c>
    </row>
    <row r="137">
      <c r="A137" t="inlineStr">
        <is>
          <t>wc22-a-ecu-sen-20221129</t>
        </is>
      </c>
      <c r="B137" t="inlineStr">
        <is>
          <t>KO</t>
        </is>
      </c>
      <c r="C137" t="n">
        <v>1820</v>
      </c>
      <c r="D137" t="n">
        <v>1858</v>
      </c>
      <c r="E137" t="n">
        <v>0</v>
      </c>
      <c r="F137" t="n">
        <v>8</v>
      </c>
      <c r="G137" t="n">
        <v>1</v>
      </c>
      <c r="H137" t="n">
        <v>1</v>
      </c>
      <c r="I137" t="n">
        <v>0.32203</v>
      </c>
      <c r="J137" t="n">
        <v>0.2772</v>
      </c>
      <c r="K137" t="n">
        <v>0.40077</v>
      </c>
      <c r="L137" t="n">
        <v>0.382716</v>
      </c>
      <c r="M137" t="n">
        <v>0.308642</v>
      </c>
      <c r="N137" t="n">
        <v>0.308642</v>
      </c>
      <c r="O137" t="n">
        <v>0</v>
      </c>
      <c r="P137" t="n">
        <v>0</v>
      </c>
      <c r="Q137" t="n">
        <v>1</v>
      </c>
      <c r="R137" t="inlineStr">
        <is>
          <t>pass</t>
        </is>
      </c>
      <c r="S137" t="inlineStr"/>
      <c r="T137" t="inlineStr"/>
      <c r="V137">
        <f>(I137-O137)^2+(J137-P137)^2+(K137-Q137)^2</f>
        <v/>
      </c>
      <c r="W137">
        <f>IF(B137&lt;&gt;"KO","",IF(R137="pick",IF(VLOOKUP(A137,'Match Universe'!A:K,11,FALSE)=S137,"hit","miss"),IF(R137="pass","n/a","n/a")))</f>
        <v/>
      </c>
      <c r="X137" t="inlineStr">
        <is>
          <t>BACKTEST wc 2022</t>
        </is>
      </c>
    </row>
    <row r="138">
      <c r="A138" t="inlineStr">
        <is>
          <t>wc22-b-wal-eng-20221129</t>
        </is>
      </c>
      <c r="B138" t="inlineStr">
        <is>
          <t>T-38</t>
        </is>
      </c>
      <c r="C138" t="n">
        <v>1789</v>
      </c>
      <c r="D138" t="n">
        <v>2020</v>
      </c>
      <c r="E138" t="n">
        <v>0</v>
      </c>
      <c r="F138" t="n">
        <v>18</v>
      </c>
      <c r="G138" t="n">
        <v>1</v>
      </c>
      <c r="H138" t="n">
        <v>1</v>
      </c>
      <c r="I138" t="n">
        <v>0.175437</v>
      </c>
      <c r="J138" t="n">
        <v>0.1614</v>
      </c>
      <c r="K138" t="n">
        <v>0.6631629999999999</v>
      </c>
      <c r="L138" t="n">
        <v>0.12622</v>
      </c>
      <c r="M138" t="n">
        <v>0.225392</v>
      </c>
      <c r="N138" t="n">
        <v>0.648388</v>
      </c>
      <c r="O138" t="n">
        <v>0</v>
      </c>
      <c r="P138" t="n">
        <v>0</v>
      </c>
      <c r="Q138" t="n">
        <v>0</v>
      </c>
      <c r="R138" t="inlineStr">
        <is>
          <t>pass</t>
        </is>
      </c>
      <c r="S138" t="inlineStr"/>
      <c r="T138" t="inlineStr"/>
      <c r="V138">
        <f>(I138-O138)^2+(J138-P138)^2+(K138-Q138)^2</f>
        <v/>
      </c>
      <c r="W138">
        <f>IF(B138&lt;&gt;"KO","",IF(R138="pick",IF(VLOOKUP(A138,'Match Universe'!A:K,11,FALSE)=S138,"hit","miss"),IF(R138="pass","n/a","n/a")))</f>
        <v/>
      </c>
      <c r="X138" t="inlineStr">
        <is>
          <t>BACKTEST wc 2022</t>
        </is>
      </c>
    </row>
    <row r="139">
      <c r="A139" t="inlineStr">
        <is>
          <t>wc22-b-wal-eng-20221129</t>
        </is>
      </c>
      <c r="B139" t="inlineStr">
        <is>
          <t>T-5</t>
        </is>
      </c>
      <c r="C139" t="n">
        <v>1789</v>
      </c>
      <c r="D139" t="n">
        <v>2020</v>
      </c>
      <c r="E139" t="n">
        <v>0</v>
      </c>
      <c r="F139" t="n">
        <v>18</v>
      </c>
      <c r="G139" t="n">
        <v>1</v>
      </c>
      <c r="H139" t="n">
        <v>1</v>
      </c>
      <c r="I139" t="n">
        <v>0.175437</v>
      </c>
      <c r="J139" t="n">
        <v>0.1614</v>
      </c>
      <c r="K139" t="n">
        <v>0.6631629999999999</v>
      </c>
      <c r="L139" t="n">
        <v>0.12622</v>
      </c>
      <c r="M139" t="n">
        <v>0.225392</v>
      </c>
      <c r="N139" t="n">
        <v>0.648388</v>
      </c>
      <c r="O139" t="n">
        <v>0</v>
      </c>
      <c r="P139" t="n">
        <v>0</v>
      </c>
      <c r="Q139" t="n">
        <v>0</v>
      </c>
      <c r="R139" t="inlineStr">
        <is>
          <t>pass</t>
        </is>
      </c>
      <c r="S139" t="inlineStr"/>
      <c r="T139" t="inlineStr"/>
      <c r="V139">
        <f>(I139-O139)^2+(J139-P139)^2+(K139-Q139)^2</f>
        <v/>
      </c>
      <c r="W139">
        <f>IF(B139&lt;&gt;"KO","",IF(R139="pick",IF(VLOOKUP(A139,'Match Universe'!A:K,11,FALSE)=S139,"hit","miss"),IF(R139="pass","n/a","n/a")))</f>
        <v/>
      </c>
      <c r="X139" t="inlineStr">
        <is>
          <t>BACKTEST wc 2022</t>
        </is>
      </c>
    </row>
    <row r="140">
      <c r="A140" t="inlineStr">
        <is>
          <t>wc22-b-wal-eng-20221129</t>
        </is>
      </c>
      <c r="B140" t="inlineStr">
        <is>
          <t>T-1h</t>
        </is>
      </c>
      <c r="C140" t="n">
        <v>1789</v>
      </c>
      <c r="D140" t="n">
        <v>2020</v>
      </c>
      <c r="E140" t="n">
        <v>0</v>
      </c>
      <c r="F140" t="n">
        <v>18</v>
      </c>
      <c r="G140" t="n">
        <v>1</v>
      </c>
      <c r="H140" t="n">
        <v>1</v>
      </c>
      <c r="I140" t="n">
        <v>0.175437</v>
      </c>
      <c r="J140" t="n">
        <v>0.1614</v>
      </c>
      <c r="K140" t="n">
        <v>0.6631629999999999</v>
      </c>
      <c r="L140" t="n">
        <v>0.12622</v>
      </c>
      <c r="M140" t="n">
        <v>0.225392</v>
      </c>
      <c r="N140" t="n">
        <v>0.648388</v>
      </c>
      <c r="O140" t="n">
        <v>0</v>
      </c>
      <c r="P140" t="n">
        <v>0</v>
      </c>
      <c r="Q140" t="n">
        <v>0</v>
      </c>
      <c r="R140" t="inlineStr">
        <is>
          <t>pass</t>
        </is>
      </c>
      <c r="S140" t="inlineStr"/>
      <c r="T140" t="inlineStr"/>
      <c r="V140">
        <f>(I140-O140)^2+(J140-P140)^2+(K140-Q140)^2</f>
        <v/>
      </c>
      <c r="W140">
        <f>IF(B140&lt;&gt;"KO","",IF(R140="pick",IF(VLOOKUP(A140,'Match Universe'!A:K,11,FALSE)=S140,"hit","miss"),IF(R140="pass","n/a","n/a")))</f>
        <v/>
      </c>
      <c r="X140" t="inlineStr">
        <is>
          <t>BACKTEST wc 2022</t>
        </is>
      </c>
    </row>
    <row r="141">
      <c r="A141" t="inlineStr">
        <is>
          <t>wc22-b-wal-eng-20221129</t>
        </is>
      </c>
      <c r="B141" t="inlineStr">
        <is>
          <t>KO</t>
        </is>
      </c>
      <c r="C141" t="n">
        <v>1789</v>
      </c>
      <c r="D141" t="n">
        <v>2020</v>
      </c>
      <c r="E141" t="n">
        <v>0</v>
      </c>
      <c r="F141" t="n">
        <v>18</v>
      </c>
      <c r="G141" t="n">
        <v>1</v>
      </c>
      <c r="H141" t="n">
        <v>1</v>
      </c>
      <c r="I141" t="n">
        <v>0.175437</v>
      </c>
      <c r="J141" t="n">
        <v>0.1614</v>
      </c>
      <c r="K141" t="n">
        <v>0.6631629999999999</v>
      </c>
      <c r="L141" t="n">
        <v>0.12622</v>
      </c>
      <c r="M141" t="n">
        <v>0.225392</v>
      </c>
      <c r="N141" t="n">
        <v>0.648388</v>
      </c>
      <c r="O141" t="n">
        <v>0</v>
      </c>
      <c r="P141" t="n">
        <v>0</v>
      </c>
      <c r="Q141" t="n">
        <v>1</v>
      </c>
      <c r="R141" t="inlineStr">
        <is>
          <t>pass</t>
        </is>
      </c>
      <c r="S141" t="inlineStr"/>
      <c r="T141" t="inlineStr"/>
      <c r="V141">
        <f>(I141-O141)^2+(J141-P141)^2+(K141-Q141)^2</f>
        <v/>
      </c>
      <c r="W141">
        <f>IF(B141&lt;&gt;"KO","",IF(R141="pick",IF(VLOOKUP(A141,'Match Universe'!A:K,11,FALSE)=S141,"hit","miss"),IF(R141="pass","n/a","n/a")))</f>
        <v/>
      </c>
      <c r="X141" t="inlineStr">
        <is>
          <t>BACKTEST wc 2022</t>
        </is>
      </c>
    </row>
    <row r="142">
      <c r="A142" t="inlineStr">
        <is>
          <t>wc22-b-irn-usa-20221129</t>
        </is>
      </c>
      <c r="B142" t="inlineStr">
        <is>
          <t>T-38</t>
        </is>
      </c>
      <c r="C142" t="n">
        <v>1818</v>
      </c>
      <c r="D142" t="n">
        <v>1798</v>
      </c>
      <c r="E142" t="n">
        <v>0</v>
      </c>
      <c r="F142" t="n">
        <v>8</v>
      </c>
      <c r="G142" t="n">
        <v>1</v>
      </c>
      <c r="H142" t="n">
        <v>1</v>
      </c>
      <c r="I142" t="n">
        <v>0.37647</v>
      </c>
      <c r="J142" t="n">
        <v>0.288</v>
      </c>
      <c r="K142" t="n">
        <v>0.33553</v>
      </c>
      <c r="L142" t="n">
        <v>0.19413</v>
      </c>
      <c r="M142" t="n">
        <v>0.276921</v>
      </c>
      <c r="N142" t="n">
        <v>0.528949</v>
      </c>
      <c r="O142" t="n">
        <v>0</v>
      </c>
      <c r="P142" t="n">
        <v>0</v>
      </c>
      <c r="Q142" t="n">
        <v>0</v>
      </c>
      <c r="R142" t="inlineStr">
        <is>
          <t>pick</t>
        </is>
      </c>
      <c r="S142" t="inlineStr">
        <is>
          <t>Iran</t>
        </is>
      </c>
      <c r="T142" t="inlineStr">
        <is>
          <t>polymarket</t>
        </is>
      </c>
      <c r="U142" t="n">
        <v>18.23</v>
      </c>
      <c r="V142">
        <f>(I142-O142)^2+(J142-P142)^2+(K142-Q142)^2</f>
        <v/>
      </c>
      <c r="W142">
        <f>IF(B142&lt;&gt;"KO","",IF(R142="pick",IF(VLOOKUP(A142,'Match Universe'!A:K,11,FALSE)=S142,"hit","miss"),IF(R142="pass","n/a","n/a")))</f>
        <v/>
      </c>
      <c r="X142" t="inlineStr">
        <is>
          <t>BACKTEST wc 2022</t>
        </is>
      </c>
    </row>
    <row r="143">
      <c r="A143" t="inlineStr">
        <is>
          <t>wc22-b-irn-usa-20221129</t>
        </is>
      </c>
      <c r="B143" t="inlineStr">
        <is>
          <t>T-5</t>
        </is>
      </c>
      <c r="C143" t="n">
        <v>1818</v>
      </c>
      <c r="D143" t="n">
        <v>1798</v>
      </c>
      <c r="E143" t="n">
        <v>0</v>
      </c>
      <c r="F143" t="n">
        <v>8</v>
      </c>
      <c r="G143" t="n">
        <v>1</v>
      </c>
      <c r="H143" t="n">
        <v>1</v>
      </c>
      <c r="I143" t="n">
        <v>0.37647</v>
      </c>
      <c r="J143" t="n">
        <v>0.288</v>
      </c>
      <c r="K143" t="n">
        <v>0.33553</v>
      </c>
      <c r="L143" t="n">
        <v>0.19413</v>
      </c>
      <c r="M143" t="n">
        <v>0.276921</v>
      </c>
      <c r="N143" t="n">
        <v>0.528949</v>
      </c>
      <c r="O143" t="n">
        <v>0</v>
      </c>
      <c r="P143" t="n">
        <v>0</v>
      </c>
      <c r="Q143" t="n">
        <v>0</v>
      </c>
      <c r="R143" t="inlineStr">
        <is>
          <t>pick</t>
        </is>
      </c>
      <c r="S143" t="inlineStr">
        <is>
          <t>Iran</t>
        </is>
      </c>
      <c r="T143" t="inlineStr">
        <is>
          <t>polymarket</t>
        </is>
      </c>
      <c r="U143" t="n">
        <v>18.23</v>
      </c>
      <c r="V143">
        <f>(I143-O143)^2+(J143-P143)^2+(K143-Q143)^2</f>
        <v/>
      </c>
      <c r="W143">
        <f>IF(B143&lt;&gt;"KO","",IF(R143="pick",IF(VLOOKUP(A143,'Match Universe'!A:K,11,FALSE)=S143,"hit","miss"),IF(R143="pass","n/a","n/a")))</f>
        <v/>
      </c>
      <c r="X143" t="inlineStr">
        <is>
          <t>BACKTEST wc 2022</t>
        </is>
      </c>
    </row>
    <row r="144">
      <c r="A144" t="inlineStr">
        <is>
          <t>wc22-b-irn-usa-20221129</t>
        </is>
      </c>
      <c r="B144" t="inlineStr">
        <is>
          <t>T-1h</t>
        </is>
      </c>
      <c r="C144" t="n">
        <v>1818</v>
      </c>
      <c r="D144" t="n">
        <v>1798</v>
      </c>
      <c r="E144" t="n">
        <v>0</v>
      </c>
      <c r="F144" t="n">
        <v>8</v>
      </c>
      <c r="G144" t="n">
        <v>1</v>
      </c>
      <c r="H144" t="n">
        <v>1</v>
      </c>
      <c r="I144" t="n">
        <v>0.37647</v>
      </c>
      <c r="J144" t="n">
        <v>0.288</v>
      </c>
      <c r="K144" t="n">
        <v>0.33553</v>
      </c>
      <c r="L144" t="n">
        <v>0.19413</v>
      </c>
      <c r="M144" t="n">
        <v>0.276921</v>
      </c>
      <c r="N144" t="n">
        <v>0.528949</v>
      </c>
      <c r="O144" t="n">
        <v>0</v>
      </c>
      <c r="P144" t="n">
        <v>0</v>
      </c>
      <c r="Q144" t="n">
        <v>0</v>
      </c>
      <c r="R144" t="inlineStr">
        <is>
          <t>pick</t>
        </is>
      </c>
      <c r="S144" t="inlineStr">
        <is>
          <t>Iran</t>
        </is>
      </c>
      <c r="T144" t="inlineStr">
        <is>
          <t>polymarket</t>
        </is>
      </c>
      <c r="U144" t="n">
        <v>18.23</v>
      </c>
      <c r="V144">
        <f>(I144-O144)^2+(J144-P144)^2+(K144-Q144)^2</f>
        <v/>
      </c>
      <c r="W144">
        <f>IF(B144&lt;&gt;"KO","",IF(R144="pick",IF(VLOOKUP(A144,'Match Universe'!A:K,11,FALSE)=S144,"hit","miss"),IF(R144="pass","n/a","n/a")))</f>
        <v/>
      </c>
      <c r="X144" t="inlineStr">
        <is>
          <t>BACKTEST wc 2022</t>
        </is>
      </c>
    </row>
    <row r="145">
      <c r="A145" t="inlineStr">
        <is>
          <t>wc22-b-irn-usa-20221129</t>
        </is>
      </c>
      <c r="B145" t="inlineStr">
        <is>
          <t>KO</t>
        </is>
      </c>
      <c r="C145" t="n">
        <v>1818</v>
      </c>
      <c r="D145" t="n">
        <v>1798</v>
      </c>
      <c r="E145" t="n">
        <v>0</v>
      </c>
      <c r="F145" t="n">
        <v>8</v>
      </c>
      <c r="G145" t="n">
        <v>1</v>
      </c>
      <c r="H145" t="n">
        <v>1</v>
      </c>
      <c r="I145" t="n">
        <v>0.37647</v>
      </c>
      <c r="J145" t="n">
        <v>0.288</v>
      </c>
      <c r="K145" t="n">
        <v>0.33553</v>
      </c>
      <c r="L145" t="n">
        <v>0.19413</v>
      </c>
      <c r="M145" t="n">
        <v>0.276921</v>
      </c>
      <c r="N145" t="n">
        <v>0.528949</v>
      </c>
      <c r="O145" t="n">
        <v>0</v>
      </c>
      <c r="P145" t="n">
        <v>0</v>
      </c>
      <c r="Q145" t="n">
        <v>1</v>
      </c>
      <c r="R145" t="inlineStr">
        <is>
          <t>pick</t>
        </is>
      </c>
      <c r="S145" t="inlineStr">
        <is>
          <t>Iran</t>
        </is>
      </c>
      <c r="T145" t="inlineStr">
        <is>
          <t>polymarket</t>
        </is>
      </c>
      <c r="U145" t="n">
        <v>18.23</v>
      </c>
      <c r="V145">
        <f>(I145-O145)^2+(J145-P145)^2+(K145-Q145)^2</f>
        <v/>
      </c>
      <c r="W145">
        <f>IF(B145&lt;&gt;"KO","",IF(R145="pick",IF(VLOOKUP(A145,'Match Universe'!A:K,11,FALSE)=S145,"hit","miss"),IF(R145="pass","n/a","n/a")))</f>
        <v/>
      </c>
      <c r="X145" t="inlineStr">
        <is>
          <t>BACKTEST wc 2022</t>
        </is>
      </c>
    </row>
    <row r="146">
      <c r="A146" t="inlineStr">
        <is>
          <t>wc22-d-tun-fra-20221130</t>
        </is>
      </c>
      <c r="B146" t="inlineStr">
        <is>
          <t>T-38</t>
        </is>
      </c>
      <c r="C146" t="n">
        <v>1729</v>
      </c>
      <c r="D146" t="n">
        <v>2080</v>
      </c>
      <c r="E146" t="n">
        <v>0</v>
      </c>
      <c r="F146" t="n">
        <v>18</v>
      </c>
      <c r="G146" t="n">
        <v>1</v>
      </c>
      <c r="H146" t="n">
        <v>1</v>
      </c>
      <c r="I146" t="n">
        <v>0.105359</v>
      </c>
      <c r="J146" t="n">
        <v>0.1</v>
      </c>
      <c r="K146" t="n">
        <v>0.794641</v>
      </c>
      <c r="L146" t="n">
        <v>0.112136</v>
      </c>
      <c r="M146" t="n">
        <v>0.216627</v>
      </c>
      <c r="N146" t="n">
        <v>0.671237</v>
      </c>
      <c r="O146" t="n">
        <v>0</v>
      </c>
      <c r="P146" t="n">
        <v>0</v>
      </c>
      <c r="Q146" t="n">
        <v>0</v>
      </c>
      <c r="R146" t="inlineStr">
        <is>
          <t>pass</t>
        </is>
      </c>
      <c r="S146" t="inlineStr"/>
      <c r="T146" t="inlineStr"/>
      <c r="V146">
        <f>(I146-O146)^2+(J146-P146)^2+(K146-Q146)^2</f>
        <v/>
      </c>
      <c r="W146">
        <f>IF(B146&lt;&gt;"KO","",IF(R146="pick",IF(VLOOKUP(A146,'Match Universe'!A:K,11,FALSE)=S146,"hit","miss"),IF(R146="pass","n/a","n/a")))</f>
        <v/>
      </c>
      <c r="X146" t="inlineStr">
        <is>
          <t>BACKTEST wc 2022</t>
        </is>
      </c>
    </row>
    <row r="147">
      <c r="A147" t="inlineStr">
        <is>
          <t>wc22-d-tun-fra-20221130</t>
        </is>
      </c>
      <c r="B147" t="inlineStr">
        <is>
          <t>T-5</t>
        </is>
      </c>
      <c r="C147" t="n">
        <v>1729</v>
      </c>
      <c r="D147" t="n">
        <v>2080</v>
      </c>
      <c r="E147" t="n">
        <v>0</v>
      </c>
      <c r="F147" t="n">
        <v>18</v>
      </c>
      <c r="G147" t="n">
        <v>1</v>
      </c>
      <c r="H147" t="n">
        <v>1</v>
      </c>
      <c r="I147" t="n">
        <v>0.105359</v>
      </c>
      <c r="J147" t="n">
        <v>0.1</v>
      </c>
      <c r="K147" t="n">
        <v>0.794641</v>
      </c>
      <c r="L147" t="n">
        <v>0.112136</v>
      </c>
      <c r="M147" t="n">
        <v>0.216627</v>
      </c>
      <c r="N147" t="n">
        <v>0.671237</v>
      </c>
      <c r="O147" t="n">
        <v>0</v>
      </c>
      <c r="P147" t="n">
        <v>0</v>
      </c>
      <c r="Q147" t="n">
        <v>0</v>
      </c>
      <c r="R147" t="inlineStr">
        <is>
          <t>pass</t>
        </is>
      </c>
      <c r="S147" t="inlineStr"/>
      <c r="T147" t="inlineStr"/>
      <c r="V147">
        <f>(I147-O147)^2+(J147-P147)^2+(K147-Q147)^2</f>
        <v/>
      </c>
      <c r="W147">
        <f>IF(B147&lt;&gt;"KO","",IF(R147="pick",IF(VLOOKUP(A147,'Match Universe'!A:K,11,FALSE)=S147,"hit","miss"),IF(R147="pass","n/a","n/a")))</f>
        <v/>
      </c>
      <c r="X147" t="inlineStr">
        <is>
          <t>BACKTEST wc 2022</t>
        </is>
      </c>
    </row>
    <row r="148">
      <c r="A148" t="inlineStr">
        <is>
          <t>wc22-d-tun-fra-20221130</t>
        </is>
      </c>
      <c r="B148" t="inlineStr">
        <is>
          <t>T-1h</t>
        </is>
      </c>
      <c r="C148" t="n">
        <v>1729</v>
      </c>
      <c r="D148" t="n">
        <v>2080</v>
      </c>
      <c r="E148" t="n">
        <v>0</v>
      </c>
      <c r="F148" t="n">
        <v>18</v>
      </c>
      <c r="G148" t="n">
        <v>1</v>
      </c>
      <c r="H148" t="n">
        <v>1</v>
      </c>
      <c r="I148" t="n">
        <v>0.105359</v>
      </c>
      <c r="J148" t="n">
        <v>0.1</v>
      </c>
      <c r="K148" t="n">
        <v>0.794641</v>
      </c>
      <c r="L148" t="n">
        <v>0.112136</v>
      </c>
      <c r="M148" t="n">
        <v>0.216627</v>
      </c>
      <c r="N148" t="n">
        <v>0.671237</v>
      </c>
      <c r="O148" t="n">
        <v>0</v>
      </c>
      <c r="P148" t="n">
        <v>0</v>
      </c>
      <c r="Q148" t="n">
        <v>0</v>
      </c>
      <c r="R148" t="inlineStr">
        <is>
          <t>pass</t>
        </is>
      </c>
      <c r="S148" t="inlineStr"/>
      <c r="T148" t="inlineStr"/>
      <c r="V148">
        <f>(I148-O148)^2+(J148-P148)^2+(K148-Q148)^2</f>
        <v/>
      </c>
      <c r="W148">
        <f>IF(B148&lt;&gt;"KO","",IF(R148="pick",IF(VLOOKUP(A148,'Match Universe'!A:K,11,FALSE)=S148,"hit","miss"),IF(R148="pass","n/a","n/a")))</f>
        <v/>
      </c>
      <c r="X148" t="inlineStr">
        <is>
          <t>BACKTEST wc 2022</t>
        </is>
      </c>
    </row>
    <row r="149">
      <c r="A149" t="inlineStr">
        <is>
          <t>wc22-d-tun-fra-20221130</t>
        </is>
      </c>
      <c r="B149" t="inlineStr">
        <is>
          <t>KO</t>
        </is>
      </c>
      <c r="C149" t="n">
        <v>1729</v>
      </c>
      <c r="D149" t="n">
        <v>2080</v>
      </c>
      <c r="E149" t="n">
        <v>0</v>
      </c>
      <c r="F149" t="n">
        <v>18</v>
      </c>
      <c r="G149" t="n">
        <v>1</v>
      </c>
      <c r="H149" t="n">
        <v>1</v>
      </c>
      <c r="I149" t="n">
        <v>0.105359</v>
      </c>
      <c r="J149" t="n">
        <v>0.1</v>
      </c>
      <c r="K149" t="n">
        <v>0.794641</v>
      </c>
      <c r="L149" t="n">
        <v>0.112136</v>
      </c>
      <c r="M149" t="n">
        <v>0.216627</v>
      </c>
      <c r="N149" t="n">
        <v>0.671237</v>
      </c>
      <c r="O149" t="n">
        <v>1</v>
      </c>
      <c r="P149" t="n">
        <v>0</v>
      </c>
      <c r="Q149" t="n">
        <v>0</v>
      </c>
      <c r="R149" t="inlineStr">
        <is>
          <t>pass</t>
        </is>
      </c>
      <c r="S149" t="inlineStr"/>
      <c r="T149" t="inlineStr"/>
      <c r="V149">
        <f>(I149-O149)^2+(J149-P149)^2+(K149-Q149)^2</f>
        <v/>
      </c>
      <c r="W149">
        <f>IF(B149&lt;&gt;"KO","",IF(R149="pick",IF(VLOOKUP(A149,'Match Universe'!A:K,11,FALSE)=S149,"hit","miss"),IF(R149="pass","n/a","n/a")))</f>
        <v/>
      </c>
      <c r="X149" t="inlineStr">
        <is>
          <t>BACKTEST wc 2022</t>
        </is>
      </c>
    </row>
    <row r="150">
      <c r="A150" t="inlineStr">
        <is>
          <t>wc22-d-aus-den-20221130</t>
        </is>
      </c>
      <c r="B150" t="inlineStr">
        <is>
          <t>T-38</t>
        </is>
      </c>
      <c r="C150" t="n">
        <v>1720</v>
      </c>
      <c r="D150" t="n">
        <v>1915</v>
      </c>
      <c r="E150" t="n">
        <v>0</v>
      </c>
      <c r="F150" t="n">
        <v>8</v>
      </c>
      <c r="G150" t="n">
        <v>1</v>
      </c>
      <c r="H150" t="n">
        <v>1</v>
      </c>
      <c r="I150" t="n">
        <v>0.200611</v>
      </c>
      <c r="J150" t="n">
        <v>0.183</v>
      </c>
      <c r="K150" t="n">
        <v>0.616389</v>
      </c>
      <c r="L150" t="n">
        <v>0.190827</v>
      </c>
      <c r="M150" t="n">
        <v>0.289222</v>
      </c>
      <c r="N150" t="n">
        <v>0.51995</v>
      </c>
      <c r="O150" t="n">
        <v>0</v>
      </c>
      <c r="P150" t="n">
        <v>0</v>
      </c>
      <c r="Q150" t="n">
        <v>0</v>
      </c>
      <c r="R150" t="inlineStr">
        <is>
          <t>pass</t>
        </is>
      </c>
      <c r="S150" t="inlineStr"/>
      <c r="T150" t="inlineStr"/>
      <c r="V150">
        <f>(I150-O150)^2+(J150-P150)^2+(K150-Q150)^2</f>
        <v/>
      </c>
      <c r="W150">
        <f>IF(B150&lt;&gt;"KO","",IF(R150="pick",IF(VLOOKUP(A150,'Match Universe'!A:K,11,FALSE)=S150,"hit","miss"),IF(R150="pass","n/a","n/a")))</f>
        <v/>
      </c>
      <c r="X150" t="inlineStr">
        <is>
          <t>BACKTEST wc 2022</t>
        </is>
      </c>
    </row>
    <row r="151">
      <c r="A151" t="inlineStr">
        <is>
          <t>wc22-d-aus-den-20221130</t>
        </is>
      </c>
      <c r="B151" t="inlineStr">
        <is>
          <t>T-5</t>
        </is>
      </c>
      <c r="C151" t="n">
        <v>1720</v>
      </c>
      <c r="D151" t="n">
        <v>1915</v>
      </c>
      <c r="E151" t="n">
        <v>0</v>
      </c>
      <c r="F151" t="n">
        <v>8</v>
      </c>
      <c r="G151" t="n">
        <v>1</v>
      </c>
      <c r="H151" t="n">
        <v>1</v>
      </c>
      <c r="I151" t="n">
        <v>0.200611</v>
      </c>
      <c r="J151" t="n">
        <v>0.183</v>
      </c>
      <c r="K151" t="n">
        <v>0.616389</v>
      </c>
      <c r="L151" t="n">
        <v>0.190827</v>
      </c>
      <c r="M151" t="n">
        <v>0.289222</v>
      </c>
      <c r="N151" t="n">
        <v>0.51995</v>
      </c>
      <c r="O151" t="n">
        <v>0</v>
      </c>
      <c r="P151" t="n">
        <v>0</v>
      </c>
      <c r="Q151" t="n">
        <v>0</v>
      </c>
      <c r="R151" t="inlineStr">
        <is>
          <t>pass</t>
        </is>
      </c>
      <c r="S151" t="inlineStr"/>
      <c r="T151" t="inlineStr"/>
      <c r="V151">
        <f>(I151-O151)^2+(J151-P151)^2+(K151-Q151)^2</f>
        <v/>
      </c>
      <c r="W151">
        <f>IF(B151&lt;&gt;"KO","",IF(R151="pick",IF(VLOOKUP(A151,'Match Universe'!A:K,11,FALSE)=S151,"hit","miss"),IF(R151="pass","n/a","n/a")))</f>
        <v/>
      </c>
      <c r="X151" t="inlineStr">
        <is>
          <t>BACKTEST wc 2022</t>
        </is>
      </c>
    </row>
    <row r="152">
      <c r="A152" t="inlineStr">
        <is>
          <t>wc22-d-aus-den-20221130</t>
        </is>
      </c>
      <c r="B152" t="inlineStr">
        <is>
          <t>T-1h</t>
        </is>
      </c>
      <c r="C152" t="n">
        <v>1720</v>
      </c>
      <c r="D152" t="n">
        <v>1915</v>
      </c>
      <c r="E152" t="n">
        <v>0</v>
      </c>
      <c r="F152" t="n">
        <v>8</v>
      </c>
      <c r="G152" t="n">
        <v>1</v>
      </c>
      <c r="H152" t="n">
        <v>1</v>
      </c>
      <c r="I152" t="n">
        <v>0.200611</v>
      </c>
      <c r="J152" t="n">
        <v>0.183</v>
      </c>
      <c r="K152" t="n">
        <v>0.616389</v>
      </c>
      <c r="L152" t="n">
        <v>0.190827</v>
      </c>
      <c r="M152" t="n">
        <v>0.289222</v>
      </c>
      <c r="N152" t="n">
        <v>0.51995</v>
      </c>
      <c r="O152" t="n">
        <v>0</v>
      </c>
      <c r="P152" t="n">
        <v>0</v>
      </c>
      <c r="Q152" t="n">
        <v>0</v>
      </c>
      <c r="R152" t="inlineStr">
        <is>
          <t>pass</t>
        </is>
      </c>
      <c r="S152" t="inlineStr"/>
      <c r="T152" t="inlineStr"/>
      <c r="V152">
        <f>(I152-O152)^2+(J152-P152)^2+(K152-Q152)^2</f>
        <v/>
      </c>
      <c r="W152">
        <f>IF(B152&lt;&gt;"KO","",IF(R152="pick",IF(VLOOKUP(A152,'Match Universe'!A:K,11,FALSE)=S152,"hit","miss"),IF(R152="pass","n/a","n/a")))</f>
        <v/>
      </c>
      <c r="X152" t="inlineStr">
        <is>
          <t>BACKTEST wc 2022</t>
        </is>
      </c>
    </row>
    <row r="153">
      <c r="A153" t="inlineStr">
        <is>
          <t>wc22-d-aus-den-20221130</t>
        </is>
      </c>
      <c r="B153" t="inlineStr">
        <is>
          <t>KO</t>
        </is>
      </c>
      <c r="C153" t="n">
        <v>1720</v>
      </c>
      <c r="D153" t="n">
        <v>1915</v>
      </c>
      <c r="E153" t="n">
        <v>0</v>
      </c>
      <c r="F153" t="n">
        <v>8</v>
      </c>
      <c r="G153" t="n">
        <v>1</v>
      </c>
      <c r="H153" t="n">
        <v>1</v>
      </c>
      <c r="I153" t="n">
        <v>0.200611</v>
      </c>
      <c r="J153" t="n">
        <v>0.183</v>
      </c>
      <c r="K153" t="n">
        <v>0.616389</v>
      </c>
      <c r="L153" t="n">
        <v>0.190827</v>
      </c>
      <c r="M153" t="n">
        <v>0.289222</v>
      </c>
      <c r="N153" t="n">
        <v>0.51995</v>
      </c>
      <c r="O153" t="n">
        <v>1</v>
      </c>
      <c r="P153" t="n">
        <v>0</v>
      </c>
      <c r="Q153" t="n">
        <v>0</v>
      </c>
      <c r="R153" t="inlineStr">
        <is>
          <t>pass</t>
        </is>
      </c>
      <c r="S153" t="inlineStr"/>
      <c r="T153" t="inlineStr"/>
      <c r="V153">
        <f>(I153-O153)^2+(J153-P153)^2+(K153-Q153)^2</f>
        <v/>
      </c>
      <c r="W153">
        <f>IF(B153&lt;&gt;"KO","",IF(R153="pick",IF(VLOOKUP(A153,'Match Universe'!A:K,11,FALSE)=S153,"hit","miss"),IF(R153="pass","n/a","n/a")))</f>
        <v/>
      </c>
      <c r="X153" t="inlineStr">
        <is>
          <t>BACKTEST wc 2022</t>
        </is>
      </c>
    </row>
    <row r="154">
      <c r="A154" t="inlineStr">
        <is>
          <t>wc22-c-pol-arg-20221130</t>
        </is>
      </c>
      <c r="B154" t="inlineStr">
        <is>
          <t>T-38</t>
        </is>
      </c>
      <c r="C154" t="n">
        <v>1855</v>
      </c>
      <c r="D154" t="n">
        <v>2142</v>
      </c>
      <c r="E154" t="n">
        <v>0</v>
      </c>
      <c r="F154" t="n">
        <v>8</v>
      </c>
      <c r="G154" t="n">
        <v>1</v>
      </c>
      <c r="H154" t="n">
        <v>1</v>
      </c>
      <c r="I154" t="n">
        <v>0.140271</v>
      </c>
      <c r="J154" t="n">
        <v>0.1278</v>
      </c>
      <c r="K154" t="n">
        <v>0.7319290000000001</v>
      </c>
      <c r="L154" t="n">
        <v>0.115764</v>
      </c>
      <c r="M154" t="n">
        <v>0.215741</v>
      </c>
      <c r="N154" t="n">
        <v>0.668495</v>
      </c>
      <c r="O154" t="n">
        <v>0</v>
      </c>
      <c r="P154" t="n">
        <v>0</v>
      </c>
      <c r="Q154" t="n">
        <v>0</v>
      </c>
      <c r="R154" t="inlineStr">
        <is>
          <t>pass</t>
        </is>
      </c>
      <c r="S154" t="inlineStr"/>
      <c r="T154" t="inlineStr"/>
      <c r="V154">
        <f>(I154-O154)^2+(J154-P154)^2+(K154-Q154)^2</f>
        <v/>
      </c>
      <c r="W154">
        <f>IF(B154&lt;&gt;"KO","",IF(R154="pick",IF(VLOOKUP(A154,'Match Universe'!A:K,11,FALSE)=S154,"hit","miss"),IF(R154="pass","n/a","n/a")))</f>
        <v/>
      </c>
      <c r="X154" t="inlineStr">
        <is>
          <t>BACKTEST wc 2022</t>
        </is>
      </c>
    </row>
    <row r="155">
      <c r="A155" t="inlineStr">
        <is>
          <t>wc22-c-pol-arg-20221130</t>
        </is>
      </c>
      <c r="B155" t="inlineStr">
        <is>
          <t>T-5</t>
        </is>
      </c>
      <c r="C155" t="n">
        <v>1855</v>
      </c>
      <c r="D155" t="n">
        <v>2142</v>
      </c>
      <c r="E155" t="n">
        <v>0</v>
      </c>
      <c r="F155" t="n">
        <v>8</v>
      </c>
      <c r="G155" t="n">
        <v>1</v>
      </c>
      <c r="H155" t="n">
        <v>1</v>
      </c>
      <c r="I155" t="n">
        <v>0.140271</v>
      </c>
      <c r="J155" t="n">
        <v>0.1278</v>
      </c>
      <c r="K155" t="n">
        <v>0.7319290000000001</v>
      </c>
      <c r="L155" t="n">
        <v>0.115764</v>
      </c>
      <c r="M155" t="n">
        <v>0.215741</v>
      </c>
      <c r="N155" t="n">
        <v>0.668495</v>
      </c>
      <c r="O155" t="n">
        <v>0</v>
      </c>
      <c r="P155" t="n">
        <v>0</v>
      </c>
      <c r="Q155" t="n">
        <v>0</v>
      </c>
      <c r="R155" t="inlineStr">
        <is>
          <t>pass</t>
        </is>
      </c>
      <c r="S155" t="inlineStr"/>
      <c r="T155" t="inlineStr"/>
      <c r="V155">
        <f>(I155-O155)^2+(J155-P155)^2+(K155-Q155)^2</f>
        <v/>
      </c>
      <c r="W155">
        <f>IF(B155&lt;&gt;"KO","",IF(R155="pick",IF(VLOOKUP(A155,'Match Universe'!A:K,11,FALSE)=S155,"hit","miss"),IF(R155="pass","n/a","n/a")))</f>
        <v/>
      </c>
      <c r="X155" t="inlineStr">
        <is>
          <t>BACKTEST wc 2022</t>
        </is>
      </c>
    </row>
    <row r="156">
      <c r="A156" t="inlineStr">
        <is>
          <t>wc22-c-pol-arg-20221130</t>
        </is>
      </c>
      <c r="B156" t="inlineStr">
        <is>
          <t>T-1h</t>
        </is>
      </c>
      <c r="C156" t="n">
        <v>1855</v>
      </c>
      <c r="D156" t="n">
        <v>2142</v>
      </c>
      <c r="E156" t="n">
        <v>0</v>
      </c>
      <c r="F156" t="n">
        <v>8</v>
      </c>
      <c r="G156" t="n">
        <v>1</v>
      </c>
      <c r="H156" t="n">
        <v>1</v>
      </c>
      <c r="I156" t="n">
        <v>0.140271</v>
      </c>
      <c r="J156" t="n">
        <v>0.1278</v>
      </c>
      <c r="K156" t="n">
        <v>0.7319290000000001</v>
      </c>
      <c r="L156" t="n">
        <v>0.115764</v>
      </c>
      <c r="M156" t="n">
        <v>0.215741</v>
      </c>
      <c r="N156" t="n">
        <v>0.668495</v>
      </c>
      <c r="O156" t="n">
        <v>0</v>
      </c>
      <c r="P156" t="n">
        <v>0</v>
      </c>
      <c r="Q156" t="n">
        <v>0</v>
      </c>
      <c r="R156" t="inlineStr">
        <is>
          <t>pass</t>
        </is>
      </c>
      <c r="S156" t="inlineStr"/>
      <c r="T156" t="inlineStr"/>
      <c r="V156">
        <f>(I156-O156)^2+(J156-P156)^2+(K156-Q156)^2</f>
        <v/>
      </c>
      <c r="W156">
        <f>IF(B156&lt;&gt;"KO","",IF(R156="pick",IF(VLOOKUP(A156,'Match Universe'!A:K,11,FALSE)=S156,"hit","miss"),IF(R156="pass","n/a","n/a")))</f>
        <v/>
      </c>
      <c r="X156" t="inlineStr">
        <is>
          <t>BACKTEST wc 2022</t>
        </is>
      </c>
    </row>
    <row r="157">
      <c r="A157" t="inlineStr">
        <is>
          <t>wc22-c-pol-arg-20221130</t>
        </is>
      </c>
      <c r="B157" t="inlineStr">
        <is>
          <t>KO</t>
        </is>
      </c>
      <c r="C157" t="n">
        <v>1855</v>
      </c>
      <c r="D157" t="n">
        <v>2142</v>
      </c>
      <c r="E157" t="n">
        <v>0</v>
      </c>
      <c r="F157" t="n">
        <v>8</v>
      </c>
      <c r="G157" t="n">
        <v>1</v>
      </c>
      <c r="H157" t="n">
        <v>1</v>
      </c>
      <c r="I157" t="n">
        <v>0.140271</v>
      </c>
      <c r="J157" t="n">
        <v>0.1278</v>
      </c>
      <c r="K157" t="n">
        <v>0.7319290000000001</v>
      </c>
      <c r="L157" t="n">
        <v>0.115764</v>
      </c>
      <c r="M157" t="n">
        <v>0.215741</v>
      </c>
      <c r="N157" t="n">
        <v>0.668495</v>
      </c>
      <c r="O157" t="n">
        <v>0</v>
      </c>
      <c r="P157" t="n">
        <v>0</v>
      </c>
      <c r="Q157" t="n">
        <v>1</v>
      </c>
      <c r="R157" t="inlineStr">
        <is>
          <t>pass</t>
        </is>
      </c>
      <c r="S157" t="inlineStr"/>
      <c r="T157" t="inlineStr"/>
      <c r="V157">
        <f>(I157-O157)^2+(J157-P157)^2+(K157-Q157)^2</f>
        <v/>
      </c>
      <c r="W157">
        <f>IF(B157&lt;&gt;"KO","",IF(R157="pick",IF(VLOOKUP(A157,'Match Universe'!A:K,11,FALSE)=S157,"hit","miss"),IF(R157="pass","n/a","n/a")))</f>
        <v/>
      </c>
      <c r="X157" t="inlineStr">
        <is>
          <t>BACKTEST wc 2022</t>
        </is>
      </c>
    </row>
    <row r="158">
      <c r="A158" t="inlineStr">
        <is>
          <t>wc22-c-sau-mex-20221130</t>
        </is>
      </c>
      <c r="B158" t="inlineStr">
        <is>
          <t>T-38</t>
        </is>
      </c>
      <c r="C158" t="n">
        <v>1635</v>
      </c>
      <c r="D158" t="n">
        <v>1870</v>
      </c>
      <c r="E158" t="n">
        <v>0</v>
      </c>
      <c r="F158" t="n">
        <v>8</v>
      </c>
      <c r="G158" t="n">
        <v>1</v>
      </c>
      <c r="H158" t="n">
        <v>1</v>
      </c>
      <c r="I158" t="n">
        <v>0.172757</v>
      </c>
      <c r="J158" t="n">
        <v>0.159</v>
      </c>
      <c r="K158" t="n">
        <v>0.668243</v>
      </c>
      <c r="L158" t="n">
        <v>0.177107</v>
      </c>
      <c r="M158" t="n">
        <v>0.273251</v>
      </c>
      <c r="N158" t="n">
        <v>0.549642</v>
      </c>
      <c r="O158" t="n">
        <v>0</v>
      </c>
      <c r="P158" t="n">
        <v>0</v>
      </c>
      <c r="Q158" t="n">
        <v>0</v>
      </c>
      <c r="R158" t="inlineStr">
        <is>
          <t>pass</t>
        </is>
      </c>
      <c r="S158" t="inlineStr"/>
      <c r="T158" t="inlineStr"/>
      <c r="V158">
        <f>(I158-O158)^2+(J158-P158)^2+(K158-Q158)^2</f>
        <v/>
      </c>
      <c r="W158">
        <f>IF(B158&lt;&gt;"KO","",IF(R158="pick",IF(VLOOKUP(A158,'Match Universe'!A:K,11,FALSE)=S158,"hit","miss"),IF(R158="pass","n/a","n/a")))</f>
        <v/>
      </c>
      <c r="X158" t="inlineStr">
        <is>
          <t>BACKTEST wc 2022</t>
        </is>
      </c>
    </row>
    <row r="159">
      <c r="A159" t="inlineStr">
        <is>
          <t>wc22-c-sau-mex-20221130</t>
        </is>
      </c>
      <c r="B159" t="inlineStr">
        <is>
          <t>T-5</t>
        </is>
      </c>
      <c r="C159" t="n">
        <v>1635</v>
      </c>
      <c r="D159" t="n">
        <v>1870</v>
      </c>
      <c r="E159" t="n">
        <v>0</v>
      </c>
      <c r="F159" t="n">
        <v>8</v>
      </c>
      <c r="G159" t="n">
        <v>1</v>
      </c>
      <c r="H159" t="n">
        <v>1</v>
      </c>
      <c r="I159" t="n">
        <v>0.172757</v>
      </c>
      <c r="J159" t="n">
        <v>0.159</v>
      </c>
      <c r="K159" t="n">
        <v>0.668243</v>
      </c>
      <c r="L159" t="n">
        <v>0.177107</v>
      </c>
      <c r="M159" t="n">
        <v>0.273251</v>
      </c>
      <c r="N159" t="n">
        <v>0.549642</v>
      </c>
      <c r="O159" t="n">
        <v>0</v>
      </c>
      <c r="P159" t="n">
        <v>0</v>
      </c>
      <c r="Q159" t="n">
        <v>0</v>
      </c>
      <c r="R159" t="inlineStr">
        <is>
          <t>pass</t>
        </is>
      </c>
      <c r="S159" t="inlineStr"/>
      <c r="T159" t="inlineStr"/>
      <c r="V159">
        <f>(I159-O159)^2+(J159-P159)^2+(K159-Q159)^2</f>
        <v/>
      </c>
      <c r="W159">
        <f>IF(B159&lt;&gt;"KO","",IF(R159="pick",IF(VLOOKUP(A159,'Match Universe'!A:K,11,FALSE)=S159,"hit","miss"),IF(R159="pass","n/a","n/a")))</f>
        <v/>
      </c>
      <c r="X159" t="inlineStr">
        <is>
          <t>BACKTEST wc 2022</t>
        </is>
      </c>
    </row>
    <row r="160">
      <c r="A160" t="inlineStr">
        <is>
          <t>wc22-c-sau-mex-20221130</t>
        </is>
      </c>
      <c r="B160" t="inlineStr">
        <is>
          <t>T-1h</t>
        </is>
      </c>
      <c r="C160" t="n">
        <v>1635</v>
      </c>
      <c r="D160" t="n">
        <v>1870</v>
      </c>
      <c r="E160" t="n">
        <v>0</v>
      </c>
      <c r="F160" t="n">
        <v>8</v>
      </c>
      <c r="G160" t="n">
        <v>1</v>
      </c>
      <c r="H160" t="n">
        <v>1</v>
      </c>
      <c r="I160" t="n">
        <v>0.172757</v>
      </c>
      <c r="J160" t="n">
        <v>0.159</v>
      </c>
      <c r="K160" t="n">
        <v>0.668243</v>
      </c>
      <c r="L160" t="n">
        <v>0.177107</v>
      </c>
      <c r="M160" t="n">
        <v>0.273251</v>
      </c>
      <c r="N160" t="n">
        <v>0.549642</v>
      </c>
      <c r="O160" t="n">
        <v>0</v>
      </c>
      <c r="P160" t="n">
        <v>0</v>
      </c>
      <c r="Q160" t="n">
        <v>0</v>
      </c>
      <c r="R160" t="inlineStr">
        <is>
          <t>pass</t>
        </is>
      </c>
      <c r="S160" t="inlineStr"/>
      <c r="T160" t="inlineStr"/>
      <c r="V160">
        <f>(I160-O160)^2+(J160-P160)^2+(K160-Q160)^2</f>
        <v/>
      </c>
      <c r="W160">
        <f>IF(B160&lt;&gt;"KO","",IF(R160="pick",IF(VLOOKUP(A160,'Match Universe'!A:K,11,FALSE)=S160,"hit","miss"),IF(R160="pass","n/a","n/a")))</f>
        <v/>
      </c>
      <c r="X160" t="inlineStr">
        <is>
          <t>BACKTEST wc 2022</t>
        </is>
      </c>
    </row>
    <row r="161">
      <c r="A161" t="inlineStr">
        <is>
          <t>wc22-c-sau-mex-20221130</t>
        </is>
      </c>
      <c r="B161" t="inlineStr">
        <is>
          <t>KO</t>
        </is>
      </c>
      <c r="C161" t="n">
        <v>1635</v>
      </c>
      <c r="D161" t="n">
        <v>1870</v>
      </c>
      <c r="E161" t="n">
        <v>0</v>
      </c>
      <c r="F161" t="n">
        <v>8</v>
      </c>
      <c r="G161" t="n">
        <v>1</v>
      </c>
      <c r="H161" t="n">
        <v>1</v>
      </c>
      <c r="I161" t="n">
        <v>0.172757</v>
      </c>
      <c r="J161" t="n">
        <v>0.159</v>
      </c>
      <c r="K161" t="n">
        <v>0.668243</v>
      </c>
      <c r="L161" t="n">
        <v>0.177107</v>
      </c>
      <c r="M161" t="n">
        <v>0.273251</v>
      </c>
      <c r="N161" t="n">
        <v>0.549642</v>
      </c>
      <c r="O161" t="n">
        <v>0</v>
      </c>
      <c r="P161" t="n">
        <v>0</v>
      </c>
      <c r="Q161" t="n">
        <v>1</v>
      </c>
      <c r="R161" t="inlineStr">
        <is>
          <t>pass</t>
        </is>
      </c>
      <c r="S161" t="inlineStr"/>
      <c r="T161" t="inlineStr"/>
      <c r="V161">
        <f>(I161-O161)^2+(J161-P161)^2+(K161-Q161)^2</f>
        <v/>
      </c>
      <c r="W161">
        <f>IF(B161&lt;&gt;"KO","",IF(R161="pick",IF(VLOOKUP(A161,'Match Universe'!A:K,11,FALSE)=S161,"hit","miss"),IF(R161="pass","n/a","n/a")))</f>
        <v/>
      </c>
      <c r="X161" t="inlineStr">
        <is>
          <t>BACKTEST wc 2022</t>
        </is>
      </c>
    </row>
    <row r="162">
      <c r="A162" t="inlineStr">
        <is>
          <t>wc22-f-cro-bel-20221201</t>
        </is>
      </c>
      <c r="B162" t="inlineStr">
        <is>
          <t>T-38</t>
        </is>
      </c>
      <c r="C162" t="n">
        <v>1920</v>
      </c>
      <c r="D162" t="n">
        <v>2025</v>
      </c>
      <c r="E162" t="n">
        <v>0</v>
      </c>
      <c r="F162" t="n">
        <v>18</v>
      </c>
      <c r="G162" t="n">
        <v>1</v>
      </c>
      <c r="H162" t="n">
        <v>1</v>
      </c>
      <c r="I162" t="n">
        <v>0.269592</v>
      </c>
      <c r="J162" t="n">
        <v>0.237</v>
      </c>
      <c r="K162" t="n">
        <v>0.493408</v>
      </c>
      <c r="L162" t="n">
        <v>0.273915</v>
      </c>
      <c r="M162" t="n">
        <v>0.309259</v>
      </c>
      <c r="N162" t="n">
        <v>0.416827</v>
      </c>
      <c r="O162" t="n">
        <v>0</v>
      </c>
      <c r="P162" t="n">
        <v>0</v>
      </c>
      <c r="Q162" t="n">
        <v>0</v>
      </c>
      <c r="R162" t="inlineStr">
        <is>
          <t>pass</t>
        </is>
      </c>
      <c r="S162" t="inlineStr"/>
      <c r="T162" t="inlineStr"/>
      <c r="V162">
        <f>(I162-O162)^2+(J162-P162)^2+(K162-Q162)^2</f>
        <v/>
      </c>
      <c r="W162">
        <f>IF(B162&lt;&gt;"KO","",IF(R162="pick",IF(VLOOKUP(A162,'Match Universe'!A:K,11,FALSE)=S162,"hit","miss"),IF(R162="pass","n/a","n/a")))</f>
        <v/>
      </c>
      <c r="X162" t="inlineStr">
        <is>
          <t>BACKTEST wc 2022</t>
        </is>
      </c>
    </row>
    <row r="163">
      <c r="A163" t="inlineStr">
        <is>
          <t>wc22-f-cro-bel-20221201</t>
        </is>
      </c>
      <c r="B163" t="inlineStr">
        <is>
          <t>T-5</t>
        </is>
      </c>
      <c r="C163" t="n">
        <v>1920</v>
      </c>
      <c r="D163" t="n">
        <v>2025</v>
      </c>
      <c r="E163" t="n">
        <v>0</v>
      </c>
      <c r="F163" t="n">
        <v>18</v>
      </c>
      <c r="G163" t="n">
        <v>1</v>
      </c>
      <c r="H163" t="n">
        <v>1</v>
      </c>
      <c r="I163" t="n">
        <v>0.269592</v>
      </c>
      <c r="J163" t="n">
        <v>0.237</v>
      </c>
      <c r="K163" t="n">
        <v>0.493408</v>
      </c>
      <c r="L163" t="n">
        <v>0.273915</v>
      </c>
      <c r="M163" t="n">
        <v>0.309259</v>
      </c>
      <c r="N163" t="n">
        <v>0.416827</v>
      </c>
      <c r="O163" t="n">
        <v>0</v>
      </c>
      <c r="P163" t="n">
        <v>0</v>
      </c>
      <c r="Q163" t="n">
        <v>0</v>
      </c>
      <c r="R163" t="inlineStr">
        <is>
          <t>pass</t>
        </is>
      </c>
      <c r="S163" t="inlineStr"/>
      <c r="T163" t="inlineStr"/>
      <c r="V163">
        <f>(I163-O163)^2+(J163-P163)^2+(K163-Q163)^2</f>
        <v/>
      </c>
      <c r="W163">
        <f>IF(B163&lt;&gt;"KO","",IF(R163="pick",IF(VLOOKUP(A163,'Match Universe'!A:K,11,FALSE)=S163,"hit","miss"),IF(R163="pass","n/a","n/a")))</f>
        <v/>
      </c>
      <c r="X163" t="inlineStr">
        <is>
          <t>BACKTEST wc 2022</t>
        </is>
      </c>
    </row>
    <row r="164">
      <c r="A164" t="inlineStr">
        <is>
          <t>wc22-f-cro-bel-20221201</t>
        </is>
      </c>
      <c r="B164" t="inlineStr">
        <is>
          <t>T-1h</t>
        </is>
      </c>
      <c r="C164" t="n">
        <v>1920</v>
      </c>
      <c r="D164" t="n">
        <v>2025</v>
      </c>
      <c r="E164" t="n">
        <v>0</v>
      </c>
      <c r="F164" t="n">
        <v>18</v>
      </c>
      <c r="G164" t="n">
        <v>1</v>
      </c>
      <c r="H164" t="n">
        <v>1</v>
      </c>
      <c r="I164" t="n">
        <v>0.269592</v>
      </c>
      <c r="J164" t="n">
        <v>0.237</v>
      </c>
      <c r="K164" t="n">
        <v>0.493408</v>
      </c>
      <c r="L164" t="n">
        <v>0.273915</v>
      </c>
      <c r="M164" t="n">
        <v>0.309259</v>
      </c>
      <c r="N164" t="n">
        <v>0.416827</v>
      </c>
      <c r="O164" t="n">
        <v>0</v>
      </c>
      <c r="P164" t="n">
        <v>0</v>
      </c>
      <c r="Q164" t="n">
        <v>0</v>
      </c>
      <c r="R164" t="inlineStr">
        <is>
          <t>pass</t>
        </is>
      </c>
      <c r="S164" t="inlineStr"/>
      <c r="T164" t="inlineStr"/>
      <c r="V164">
        <f>(I164-O164)^2+(J164-P164)^2+(K164-Q164)^2</f>
        <v/>
      </c>
      <c r="W164">
        <f>IF(B164&lt;&gt;"KO","",IF(R164="pick",IF(VLOOKUP(A164,'Match Universe'!A:K,11,FALSE)=S164,"hit","miss"),IF(R164="pass","n/a","n/a")))</f>
        <v/>
      </c>
      <c r="X164" t="inlineStr">
        <is>
          <t>BACKTEST wc 2022</t>
        </is>
      </c>
    </row>
    <row r="165">
      <c r="A165" t="inlineStr">
        <is>
          <t>wc22-f-cro-bel-20221201</t>
        </is>
      </c>
      <c r="B165" t="inlineStr">
        <is>
          <t>KO</t>
        </is>
      </c>
      <c r="C165" t="n">
        <v>1920</v>
      </c>
      <c r="D165" t="n">
        <v>2025</v>
      </c>
      <c r="E165" t="n">
        <v>0</v>
      </c>
      <c r="F165" t="n">
        <v>18</v>
      </c>
      <c r="G165" t="n">
        <v>1</v>
      </c>
      <c r="H165" t="n">
        <v>1</v>
      </c>
      <c r="I165" t="n">
        <v>0.269592</v>
      </c>
      <c r="J165" t="n">
        <v>0.237</v>
      </c>
      <c r="K165" t="n">
        <v>0.493408</v>
      </c>
      <c r="L165" t="n">
        <v>0.273915</v>
      </c>
      <c r="M165" t="n">
        <v>0.309259</v>
      </c>
      <c r="N165" t="n">
        <v>0.416827</v>
      </c>
      <c r="O165" t="n">
        <v>0</v>
      </c>
      <c r="P165" t="n">
        <v>1</v>
      </c>
      <c r="Q165" t="n">
        <v>0</v>
      </c>
      <c r="R165" t="inlineStr">
        <is>
          <t>pass</t>
        </is>
      </c>
      <c r="S165" t="inlineStr"/>
      <c r="T165" t="inlineStr"/>
      <c r="V165">
        <f>(I165-O165)^2+(J165-P165)^2+(K165-Q165)^2</f>
        <v/>
      </c>
      <c r="W165">
        <f>IF(B165&lt;&gt;"KO","",IF(R165="pick",IF(VLOOKUP(A165,'Match Universe'!A:K,11,FALSE)=S165,"hit","miss"),IF(R165="pass","n/a","n/a")))</f>
        <v/>
      </c>
      <c r="X165" t="inlineStr">
        <is>
          <t>BACKTEST wc 2022</t>
        </is>
      </c>
    </row>
    <row r="166">
      <c r="A166" t="inlineStr">
        <is>
          <t>wc22-f-can-mar-20221201</t>
        </is>
      </c>
      <c r="B166" t="inlineStr">
        <is>
          <t>T-38</t>
        </is>
      </c>
      <c r="C166" t="n">
        <v>1748</v>
      </c>
      <c r="D166" t="n">
        <v>1779</v>
      </c>
      <c r="E166" t="n">
        <v>0</v>
      </c>
      <c r="F166" t="n">
        <v>8</v>
      </c>
      <c r="G166" t="n">
        <v>1</v>
      </c>
      <c r="H166" t="n">
        <v>1</v>
      </c>
      <c r="I166" t="n">
        <v>0.327326</v>
      </c>
      <c r="J166" t="n">
        <v>0.2814</v>
      </c>
      <c r="K166" t="n">
        <v>0.391274</v>
      </c>
      <c r="L166" t="n">
        <v>0.247742</v>
      </c>
      <c r="M166" t="n">
        <v>0.298065</v>
      </c>
      <c r="N166" t="n">
        <v>0.454194</v>
      </c>
      <c r="O166" t="n">
        <v>0</v>
      </c>
      <c r="P166" t="n">
        <v>0</v>
      </c>
      <c r="Q166" t="n">
        <v>0</v>
      </c>
      <c r="R166" t="inlineStr">
        <is>
          <t>pass</t>
        </is>
      </c>
      <c r="S166" t="inlineStr"/>
      <c r="T166" t="inlineStr"/>
      <c r="V166">
        <f>(I166-O166)^2+(J166-P166)^2+(K166-Q166)^2</f>
        <v/>
      </c>
      <c r="W166">
        <f>IF(B166&lt;&gt;"KO","",IF(R166="pick",IF(VLOOKUP(A166,'Match Universe'!A:K,11,FALSE)=S166,"hit","miss"),IF(R166="pass","n/a","n/a")))</f>
        <v/>
      </c>
      <c r="X166" t="inlineStr">
        <is>
          <t>BACKTEST wc 2022</t>
        </is>
      </c>
    </row>
    <row r="167">
      <c r="A167" t="inlineStr">
        <is>
          <t>wc22-f-can-mar-20221201</t>
        </is>
      </c>
      <c r="B167" t="inlineStr">
        <is>
          <t>T-5</t>
        </is>
      </c>
      <c r="C167" t="n">
        <v>1748</v>
      </c>
      <c r="D167" t="n">
        <v>1779</v>
      </c>
      <c r="E167" t="n">
        <v>0</v>
      </c>
      <c r="F167" t="n">
        <v>8</v>
      </c>
      <c r="G167" t="n">
        <v>1</v>
      </c>
      <c r="H167" t="n">
        <v>1</v>
      </c>
      <c r="I167" t="n">
        <v>0.327326</v>
      </c>
      <c r="J167" t="n">
        <v>0.2814</v>
      </c>
      <c r="K167" t="n">
        <v>0.391274</v>
      </c>
      <c r="L167" t="n">
        <v>0.247742</v>
      </c>
      <c r="M167" t="n">
        <v>0.298065</v>
      </c>
      <c r="N167" t="n">
        <v>0.454194</v>
      </c>
      <c r="O167" t="n">
        <v>0</v>
      </c>
      <c r="P167" t="n">
        <v>0</v>
      </c>
      <c r="Q167" t="n">
        <v>0</v>
      </c>
      <c r="R167" t="inlineStr">
        <is>
          <t>pass</t>
        </is>
      </c>
      <c r="S167" t="inlineStr"/>
      <c r="T167" t="inlineStr"/>
      <c r="V167">
        <f>(I167-O167)^2+(J167-P167)^2+(K167-Q167)^2</f>
        <v/>
      </c>
      <c r="W167">
        <f>IF(B167&lt;&gt;"KO","",IF(R167="pick",IF(VLOOKUP(A167,'Match Universe'!A:K,11,FALSE)=S167,"hit","miss"),IF(R167="pass","n/a","n/a")))</f>
        <v/>
      </c>
      <c r="X167" t="inlineStr">
        <is>
          <t>BACKTEST wc 2022</t>
        </is>
      </c>
    </row>
    <row r="168">
      <c r="A168" t="inlineStr">
        <is>
          <t>wc22-f-can-mar-20221201</t>
        </is>
      </c>
      <c r="B168" t="inlineStr">
        <is>
          <t>T-1h</t>
        </is>
      </c>
      <c r="C168" t="n">
        <v>1748</v>
      </c>
      <c r="D168" t="n">
        <v>1779</v>
      </c>
      <c r="E168" t="n">
        <v>0</v>
      </c>
      <c r="F168" t="n">
        <v>8</v>
      </c>
      <c r="G168" t="n">
        <v>1</v>
      </c>
      <c r="H168" t="n">
        <v>1</v>
      </c>
      <c r="I168" t="n">
        <v>0.327326</v>
      </c>
      <c r="J168" t="n">
        <v>0.2814</v>
      </c>
      <c r="K168" t="n">
        <v>0.391274</v>
      </c>
      <c r="L168" t="n">
        <v>0.247742</v>
      </c>
      <c r="M168" t="n">
        <v>0.298065</v>
      </c>
      <c r="N168" t="n">
        <v>0.454194</v>
      </c>
      <c r="O168" t="n">
        <v>0</v>
      </c>
      <c r="P168" t="n">
        <v>0</v>
      </c>
      <c r="Q168" t="n">
        <v>0</v>
      </c>
      <c r="R168" t="inlineStr">
        <is>
          <t>pass</t>
        </is>
      </c>
      <c r="S168" t="inlineStr"/>
      <c r="T168" t="inlineStr"/>
      <c r="V168">
        <f>(I168-O168)^2+(J168-P168)^2+(K168-Q168)^2</f>
        <v/>
      </c>
      <c r="W168">
        <f>IF(B168&lt;&gt;"KO","",IF(R168="pick",IF(VLOOKUP(A168,'Match Universe'!A:K,11,FALSE)=S168,"hit","miss"),IF(R168="pass","n/a","n/a")))</f>
        <v/>
      </c>
      <c r="X168" t="inlineStr">
        <is>
          <t>BACKTEST wc 2022</t>
        </is>
      </c>
    </row>
    <row r="169">
      <c r="A169" t="inlineStr">
        <is>
          <t>wc22-f-can-mar-20221201</t>
        </is>
      </c>
      <c r="B169" t="inlineStr">
        <is>
          <t>KO</t>
        </is>
      </c>
      <c r="C169" t="n">
        <v>1748</v>
      </c>
      <c r="D169" t="n">
        <v>1779</v>
      </c>
      <c r="E169" t="n">
        <v>0</v>
      </c>
      <c r="F169" t="n">
        <v>8</v>
      </c>
      <c r="G169" t="n">
        <v>1</v>
      </c>
      <c r="H169" t="n">
        <v>1</v>
      </c>
      <c r="I169" t="n">
        <v>0.327326</v>
      </c>
      <c r="J169" t="n">
        <v>0.2814</v>
      </c>
      <c r="K169" t="n">
        <v>0.391274</v>
      </c>
      <c r="L169" t="n">
        <v>0.247742</v>
      </c>
      <c r="M169" t="n">
        <v>0.298065</v>
      </c>
      <c r="N169" t="n">
        <v>0.454194</v>
      </c>
      <c r="O169" t="n">
        <v>0</v>
      </c>
      <c r="P169" t="n">
        <v>0</v>
      </c>
      <c r="Q169" t="n">
        <v>1</v>
      </c>
      <c r="R169" t="inlineStr">
        <is>
          <t>pass</t>
        </is>
      </c>
      <c r="S169" t="inlineStr"/>
      <c r="T169" t="inlineStr"/>
      <c r="V169">
        <f>(I169-O169)^2+(J169-P169)^2+(K169-Q169)^2</f>
        <v/>
      </c>
      <c r="W169">
        <f>IF(B169&lt;&gt;"KO","",IF(R169="pick",IF(VLOOKUP(A169,'Match Universe'!A:K,11,FALSE)=S169,"hit","miss"),IF(R169="pass","n/a","n/a")))</f>
        <v/>
      </c>
      <c r="X169" t="inlineStr">
        <is>
          <t>BACKTEST wc 2022</t>
        </is>
      </c>
    </row>
    <row r="170">
      <c r="A170" t="inlineStr">
        <is>
          <t>wc22-e-jpn-esp-20221201</t>
        </is>
      </c>
      <c r="B170" t="inlineStr">
        <is>
          <t>T-38</t>
        </is>
      </c>
      <c r="C170" t="n">
        <v>1812</v>
      </c>
      <c r="D170" t="n">
        <v>2048</v>
      </c>
      <c r="E170" t="n">
        <v>0</v>
      </c>
      <c r="F170" t="n">
        <v>12</v>
      </c>
      <c r="G170" t="n">
        <v>1</v>
      </c>
      <c r="H170" t="n">
        <v>1</v>
      </c>
      <c r="I170" t="n">
        <v>0.17209</v>
      </c>
      <c r="J170" t="n">
        <v>0.1584</v>
      </c>
      <c r="K170" t="n">
        <v>0.66951</v>
      </c>
      <c r="L170" t="n">
        <v>0.138935</v>
      </c>
      <c r="M170" t="n">
        <v>0.226596</v>
      </c>
      <c r="N170" t="n">
        <v>0.6344689999999999</v>
      </c>
      <c r="O170" t="n">
        <v>0</v>
      </c>
      <c r="P170" t="n">
        <v>0</v>
      </c>
      <c r="Q170" t="n">
        <v>0</v>
      </c>
      <c r="R170" t="inlineStr">
        <is>
          <t>pass</t>
        </is>
      </c>
      <c r="S170" t="inlineStr"/>
      <c r="T170" t="inlineStr"/>
      <c r="V170">
        <f>(I170-O170)^2+(J170-P170)^2+(K170-Q170)^2</f>
        <v/>
      </c>
      <c r="W170">
        <f>IF(B170&lt;&gt;"KO","",IF(R170="pick",IF(VLOOKUP(A170,'Match Universe'!A:K,11,FALSE)=S170,"hit","miss"),IF(R170="pass","n/a","n/a")))</f>
        <v/>
      </c>
      <c r="X170" t="inlineStr">
        <is>
          <t>BACKTEST wc 2022</t>
        </is>
      </c>
    </row>
    <row r="171">
      <c r="A171" t="inlineStr">
        <is>
          <t>wc22-e-jpn-esp-20221201</t>
        </is>
      </c>
      <c r="B171" t="inlineStr">
        <is>
          <t>T-5</t>
        </is>
      </c>
      <c r="C171" t="n">
        <v>1812</v>
      </c>
      <c r="D171" t="n">
        <v>2048</v>
      </c>
      <c r="E171" t="n">
        <v>0</v>
      </c>
      <c r="F171" t="n">
        <v>12</v>
      </c>
      <c r="G171" t="n">
        <v>1</v>
      </c>
      <c r="H171" t="n">
        <v>1</v>
      </c>
      <c r="I171" t="n">
        <v>0.17209</v>
      </c>
      <c r="J171" t="n">
        <v>0.1584</v>
      </c>
      <c r="K171" t="n">
        <v>0.66951</v>
      </c>
      <c r="L171" t="n">
        <v>0.138935</v>
      </c>
      <c r="M171" t="n">
        <v>0.226596</v>
      </c>
      <c r="N171" t="n">
        <v>0.6344689999999999</v>
      </c>
      <c r="O171" t="n">
        <v>0</v>
      </c>
      <c r="P171" t="n">
        <v>0</v>
      </c>
      <c r="Q171" t="n">
        <v>0</v>
      </c>
      <c r="R171" t="inlineStr">
        <is>
          <t>pass</t>
        </is>
      </c>
      <c r="S171" t="inlineStr"/>
      <c r="T171" t="inlineStr"/>
      <c r="V171">
        <f>(I171-O171)^2+(J171-P171)^2+(K171-Q171)^2</f>
        <v/>
      </c>
      <c r="W171">
        <f>IF(B171&lt;&gt;"KO","",IF(R171="pick",IF(VLOOKUP(A171,'Match Universe'!A:K,11,FALSE)=S171,"hit","miss"),IF(R171="pass","n/a","n/a")))</f>
        <v/>
      </c>
      <c r="X171" t="inlineStr">
        <is>
          <t>BACKTEST wc 2022</t>
        </is>
      </c>
    </row>
    <row r="172">
      <c r="A172" t="inlineStr">
        <is>
          <t>wc22-e-jpn-esp-20221201</t>
        </is>
      </c>
      <c r="B172" t="inlineStr">
        <is>
          <t>T-1h</t>
        </is>
      </c>
      <c r="C172" t="n">
        <v>1812</v>
      </c>
      <c r="D172" t="n">
        <v>2048</v>
      </c>
      <c r="E172" t="n">
        <v>0</v>
      </c>
      <c r="F172" t="n">
        <v>12</v>
      </c>
      <c r="G172" t="n">
        <v>1</v>
      </c>
      <c r="H172" t="n">
        <v>1</v>
      </c>
      <c r="I172" t="n">
        <v>0.17209</v>
      </c>
      <c r="J172" t="n">
        <v>0.1584</v>
      </c>
      <c r="K172" t="n">
        <v>0.66951</v>
      </c>
      <c r="L172" t="n">
        <v>0.138935</v>
      </c>
      <c r="M172" t="n">
        <v>0.226596</v>
      </c>
      <c r="N172" t="n">
        <v>0.6344689999999999</v>
      </c>
      <c r="O172" t="n">
        <v>0</v>
      </c>
      <c r="P172" t="n">
        <v>0</v>
      </c>
      <c r="Q172" t="n">
        <v>0</v>
      </c>
      <c r="R172" t="inlineStr">
        <is>
          <t>pass</t>
        </is>
      </c>
      <c r="S172" t="inlineStr"/>
      <c r="T172" t="inlineStr"/>
      <c r="V172">
        <f>(I172-O172)^2+(J172-P172)^2+(K172-Q172)^2</f>
        <v/>
      </c>
      <c r="W172">
        <f>IF(B172&lt;&gt;"KO","",IF(R172="pick",IF(VLOOKUP(A172,'Match Universe'!A:K,11,FALSE)=S172,"hit","miss"),IF(R172="pass","n/a","n/a")))</f>
        <v/>
      </c>
      <c r="X172" t="inlineStr">
        <is>
          <t>BACKTEST wc 2022</t>
        </is>
      </c>
    </row>
    <row r="173">
      <c r="A173" t="inlineStr">
        <is>
          <t>wc22-e-jpn-esp-20221201</t>
        </is>
      </c>
      <c r="B173" t="inlineStr">
        <is>
          <t>KO</t>
        </is>
      </c>
      <c r="C173" t="n">
        <v>1812</v>
      </c>
      <c r="D173" t="n">
        <v>2048</v>
      </c>
      <c r="E173" t="n">
        <v>0</v>
      </c>
      <c r="F173" t="n">
        <v>12</v>
      </c>
      <c r="G173" t="n">
        <v>1</v>
      </c>
      <c r="H173" t="n">
        <v>1</v>
      </c>
      <c r="I173" t="n">
        <v>0.17209</v>
      </c>
      <c r="J173" t="n">
        <v>0.1584</v>
      </c>
      <c r="K173" t="n">
        <v>0.66951</v>
      </c>
      <c r="L173" t="n">
        <v>0.138935</v>
      </c>
      <c r="M173" t="n">
        <v>0.226596</v>
      </c>
      <c r="N173" t="n">
        <v>0.6344689999999999</v>
      </c>
      <c r="O173" t="n">
        <v>1</v>
      </c>
      <c r="P173" t="n">
        <v>0</v>
      </c>
      <c r="Q173" t="n">
        <v>0</v>
      </c>
      <c r="R173" t="inlineStr">
        <is>
          <t>pass</t>
        </is>
      </c>
      <c r="S173" t="inlineStr"/>
      <c r="T173" t="inlineStr"/>
      <c r="V173">
        <f>(I173-O173)^2+(J173-P173)^2+(K173-Q173)^2</f>
        <v/>
      </c>
      <c r="W173">
        <f>IF(B173&lt;&gt;"KO","",IF(R173="pick",IF(VLOOKUP(A173,'Match Universe'!A:K,11,FALSE)=S173,"hit","miss"),IF(R173="pass","n/a","n/a")))</f>
        <v/>
      </c>
      <c r="X173" t="inlineStr">
        <is>
          <t>BACKTEST wc 2022</t>
        </is>
      </c>
    </row>
    <row r="174">
      <c r="A174" t="inlineStr">
        <is>
          <t>wc22-e-crc-ger-20221201</t>
        </is>
      </c>
      <c r="B174" t="inlineStr">
        <is>
          <t>T-38</t>
        </is>
      </c>
      <c r="C174" t="n">
        <v>1741</v>
      </c>
      <c r="D174" t="n">
        <v>1968</v>
      </c>
      <c r="E174" t="n">
        <v>0</v>
      </c>
      <c r="F174" t="n">
        <v>12</v>
      </c>
      <c r="G174" t="n">
        <v>1</v>
      </c>
      <c r="H174" t="n">
        <v>1</v>
      </c>
      <c r="I174" t="n">
        <v>0.178141</v>
      </c>
      <c r="J174" t="n">
        <v>0.1638</v>
      </c>
      <c r="K174" t="n">
        <v>0.6580589999999999</v>
      </c>
      <c r="L174" t="n">
        <v>0.082216</v>
      </c>
      <c r="M174" t="n">
        <v>0.140941</v>
      </c>
      <c r="N174" t="n">
        <v>0.776843</v>
      </c>
      <c r="O174" t="n">
        <v>0</v>
      </c>
      <c r="P174" t="n">
        <v>0</v>
      </c>
      <c r="Q174" t="n">
        <v>0</v>
      </c>
      <c r="R174" t="inlineStr">
        <is>
          <t>pick</t>
        </is>
      </c>
      <c r="S174" t="inlineStr">
        <is>
          <t>Costa Rica</t>
        </is>
      </c>
      <c r="T174" t="inlineStr">
        <is>
          <t>polymarket</t>
        </is>
      </c>
      <c r="U174" t="n">
        <v>9.59</v>
      </c>
      <c r="V174">
        <f>(I174-O174)^2+(J174-P174)^2+(K174-Q174)^2</f>
        <v/>
      </c>
      <c r="W174">
        <f>IF(B174&lt;&gt;"KO","",IF(R174="pick",IF(VLOOKUP(A174,'Match Universe'!A:K,11,FALSE)=S174,"hit","miss"),IF(R174="pass","n/a","n/a")))</f>
        <v/>
      </c>
      <c r="X174" t="inlineStr">
        <is>
          <t>BACKTEST wc 2022</t>
        </is>
      </c>
    </row>
    <row r="175">
      <c r="A175" t="inlineStr">
        <is>
          <t>wc22-e-crc-ger-20221201</t>
        </is>
      </c>
      <c r="B175" t="inlineStr">
        <is>
          <t>T-5</t>
        </is>
      </c>
      <c r="C175" t="n">
        <v>1741</v>
      </c>
      <c r="D175" t="n">
        <v>1968</v>
      </c>
      <c r="E175" t="n">
        <v>0</v>
      </c>
      <c r="F175" t="n">
        <v>12</v>
      </c>
      <c r="G175" t="n">
        <v>1</v>
      </c>
      <c r="H175" t="n">
        <v>1</v>
      </c>
      <c r="I175" t="n">
        <v>0.178141</v>
      </c>
      <c r="J175" t="n">
        <v>0.1638</v>
      </c>
      <c r="K175" t="n">
        <v>0.6580589999999999</v>
      </c>
      <c r="L175" t="n">
        <v>0.082216</v>
      </c>
      <c r="M175" t="n">
        <v>0.140941</v>
      </c>
      <c r="N175" t="n">
        <v>0.776843</v>
      </c>
      <c r="O175" t="n">
        <v>0</v>
      </c>
      <c r="P175" t="n">
        <v>0</v>
      </c>
      <c r="Q175" t="n">
        <v>0</v>
      </c>
      <c r="R175" t="inlineStr">
        <is>
          <t>pick</t>
        </is>
      </c>
      <c r="S175" t="inlineStr">
        <is>
          <t>Costa Rica</t>
        </is>
      </c>
      <c r="T175" t="inlineStr">
        <is>
          <t>polymarket</t>
        </is>
      </c>
      <c r="U175" t="n">
        <v>9.59</v>
      </c>
      <c r="V175">
        <f>(I175-O175)^2+(J175-P175)^2+(K175-Q175)^2</f>
        <v/>
      </c>
      <c r="W175">
        <f>IF(B175&lt;&gt;"KO","",IF(R175="pick",IF(VLOOKUP(A175,'Match Universe'!A:K,11,FALSE)=S175,"hit","miss"),IF(R175="pass","n/a","n/a")))</f>
        <v/>
      </c>
      <c r="X175" t="inlineStr">
        <is>
          <t>BACKTEST wc 2022</t>
        </is>
      </c>
    </row>
    <row r="176">
      <c r="A176" t="inlineStr">
        <is>
          <t>wc22-e-crc-ger-20221201</t>
        </is>
      </c>
      <c r="B176" t="inlineStr">
        <is>
          <t>T-1h</t>
        </is>
      </c>
      <c r="C176" t="n">
        <v>1741</v>
      </c>
      <c r="D176" t="n">
        <v>1968</v>
      </c>
      <c r="E176" t="n">
        <v>0</v>
      </c>
      <c r="F176" t="n">
        <v>12</v>
      </c>
      <c r="G176" t="n">
        <v>1</v>
      </c>
      <c r="H176" t="n">
        <v>1</v>
      </c>
      <c r="I176" t="n">
        <v>0.178141</v>
      </c>
      <c r="J176" t="n">
        <v>0.1638</v>
      </c>
      <c r="K176" t="n">
        <v>0.6580589999999999</v>
      </c>
      <c r="L176" t="n">
        <v>0.082216</v>
      </c>
      <c r="M176" t="n">
        <v>0.140941</v>
      </c>
      <c r="N176" t="n">
        <v>0.776843</v>
      </c>
      <c r="O176" t="n">
        <v>0</v>
      </c>
      <c r="P176" t="n">
        <v>0</v>
      </c>
      <c r="Q176" t="n">
        <v>0</v>
      </c>
      <c r="R176" t="inlineStr">
        <is>
          <t>pick</t>
        </is>
      </c>
      <c r="S176" t="inlineStr">
        <is>
          <t>Costa Rica</t>
        </is>
      </c>
      <c r="T176" t="inlineStr">
        <is>
          <t>polymarket</t>
        </is>
      </c>
      <c r="U176" t="n">
        <v>9.59</v>
      </c>
      <c r="V176">
        <f>(I176-O176)^2+(J176-P176)^2+(K176-Q176)^2</f>
        <v/>
      </c>
      <c r="W176">
        <f>IF(B176&lt;&gt;"KO","",IF(R176="pick",IF(VLOOKUP(A176,'Match Universe'!A:K,11,FALSE)=S176,"hit","miss"),IF(R176="pass","n/a","n/a")))</f>
        <v/>
      </c>
      <c r="X176" t="inlineStr">
        <is>
          <t>BACKTEST wc 2022</t>
        </is>
      </c>
    </row>
    <row r="177">
      <c r="A177" t="inlineStr">
        <is>
          <t>wc22-e-crc-ger-20221201</t>
        </is>
      </c>
      <c r="B177" t="inlineStr">
        <is>
          <t>KO</t>
        </is>
      </c>
      <c r="C177" t="n">
        <v>1741</v>
      </c>
      <c r="D177" t="n">
        <v>1968</v>
      </c>
      <c r="E177" t="n">
        <v>0</v>
      </c>
      <c r="F177" t="n">
        <v>12</v>
      </c>
      <c r="G177" t="n">
        <v>1</v>
      </c>
      <c r="H177" t="n">
        <v>1</v>
      </c>
      <c r="I177" t="n">
        <v>0.178141</v>
      </c>
      <c r="J177" t="n">
        <v>0.1638</v>
      </c>
      <c r="K177" t="n">
        <v>0.6580589999999999</v>
      </c>
      <c r="L177" t="n">
        <v>0.082216</v>
      </c>
      <c r="M177" t="n">
        <v>0.140941</v>
      </c>
      <c r="N177" t="n">
        <v>0.776843</v>
      </c>
      <c r="O177" t="n">
        <v>0</v>
      </c>
      <c r="P177" t="n">
        <v>0</v>
      </c>
      <c r="Q177" t="n">
        <v>1</v>
      </c>
      <c r="R177" t="inlineStr">
        <is>
          <t>pick</t>
        </is>
      </c>
      <c r="S177" t="inlineStr">
        <is>
          <t>Costa Rica</t>
        </is>
      </c>
      <c r="T177" t="inlineStr">
        <is>
          <t>polymarket</t>
        </is>
      </c>
      <c r="U177" t="n">
        <v>9.59</v>
      </c>
      <c r="V177">
        <f>(I177-O177)^2+(J177-P177)^2+(K177-Q177)^2</f>
        <v/>
      </c>
      <c r="W177">
        <f>IF(B177&lt;&gt;"KO","",IF(R177="pick",IF(VLOOKUP(A177,'Match Universe'!A:K,11,FALSE)=S177,"hit","miss"),IF(R177="pass","n/a","n/a")))</f>
        <v/>
      </c>
      <c r="X177" t="inlineStr">
        <is>
          <t>BACKTEST wc 2022</t>
        </is>
      </c>
    </row>
    <row r="178">
      <c r="A178" t="inlineStr">
        <is>
          <t>wc22-h-kor-por-20221202</t>
        </is>
      </c>
      <c r="B178" t="inlineStr">
        <is>
          <t>T-38</t>
        </is>
      </c>
      <c r="C178" t="n">
        <v>1786</v>
      </c>
      <c r="D178" t="n">
        <v>2040</v>
      </c>
      <c r="E178" t="n">
        <v>0</v>
      </c>
      <c r="F178" t="n">
        <v>8</v>
      </c>
      <c r="G178" t="n">
        <v>1</v>
      </c>
      <c r="H178" t="n">
        <v>1</v>
      </c>
      <c r="I178" t="n">
        <v>0.160371</v>
      </c>
      <c r="J178" t="n">
        <v>0.1476</v>
      </c>
      <c r="K178" t="n">
        <v>0.692029</v>
      </c>
      <c r="L178" t="n">
        <v>0.177107</v>
      </c>
      <c r="M178" t="n">
        <v>0.273251</v>
      </c>
      <c r="N178" t="n">
        <v>0.549642</v>
      </c>
      <c r="O178" t="n">
        <v>0</v>
      </c>
      <c r="P178" t="n">
        <v>0</v>
      </c>
      <c r="Q178" t="n">
        <v>0</v>
      </c>
      <c r="R178" t="inlineStr">
        <is>
          <t>pass</t>
        </is>
      </c>
      <c r="S178" t="inlineStr"/>
      <c r="T178" t="inlineStr"/>
      <c r="V178">
        <f>(I178-O178)^2+(J178-P178)^2+(K178-Q178)^2</f>
        <v/>
      </c>
      <c r="W178">
        <f>IF(B178&lt;&gt;"KO","",IF(R178="pick",IF(VLOOKUP(A178,'Match Universe'!A:K,11,FALSE)=S178,"hit","miss"),IF(R178="pass","n/a","n/a")))</f>
        <v/>
      </c>
      <c r="X178" t="inlineStr">
        <is>
          <t>BACKTEST wc 2022</t>
        </is>
      </c>
    </row>
    <row r="179">
      <c r="A179" t="inlineStr">
        <is>
          <t>wc22-h-kor-por-20221202</t>
        </is>
      </c>
      <c r="B179" t="inlineStr">
        <is>
          <t>T-5</t>
        </is>
      </c>
      <c r="C179" t="n">
        <v>1786</v>
      </c>
      <c r="D179" t="n">
        <v>2040</v>
      </c>
      <c r="E179" t="n">
        <v>0</v>
      </c>
      <c r="F179" t="n">
        <v>8</v>
      </c>
      <c r="G179" t="n">
        <v>1</v>
      </c>
      <c r="H179" t="n">
        <v>1</v>
      </c>
      <c r="I179" t="n">
        <v>0.160371</v>
      </c>
      <c r="J179" t="n">
        <v>0.1476</v>
      </c>
      <c r="K179" t="n">
        <v>0.692029</v>
      </c>
      <c r="L179" t="n">
        <v>0.177107</v>
      </c>
      <c r="M179" t="n">
        <v>0.273251</v>
      </c>
      <c r="N179" t="n">
        <v>0.549642</v>
      </c>
      <c r="O179" t="n">
        <v>0</v>
      </c>
      <c r="P179" t="n">
        <v>0</v>
      </c>
      <c r="Q179" t="n">
        <v>0</v>
      </c>
      <c r="R179" t="inlineStr">
        <is>
          <t>pass</t>
        </is>
      </c>
      <c r="S179" t="inlineStr"/>
      <c r="T179" t="inlineStr"/>
      <c r="V179">
        <f>(I179-O179)^2+(J179-P179)^2+(K179-Q179)^2</f>
        <v/>
      </c>
      <c r="W179">
        <f>IF(B179&lt;&gt;"KO","",IF(R179="pick",IF(VLOOKUP(A179,'Match Universe'!A:K,11,FALSE)=S179,"hit","miss"),IF(R179="pass","n/a","n/a")))</f>
        <v/>
      </c>
      <c r="X179" t="inlineStr">
        <is>
          <t>BACKTEST wc 2022</t>
        </is>
      </c>
    </row>
    <row r="180">
      <c r="A180" t="inlineStr">
        <is>
          <t>wc22-h-kor-por-20221202</t>
        </is>
      </c>
      <c r="B180" t="inlineStr">
        <is>
          <t>T-1h</t>
        </is>
      </c>
      <c r="C180" t="n">
        <v>1786</v>
      </c>
      <c r="D180" t="n">
        <v>2040</v>
      </c>
      <c r="E180" t="n">
        <v>0</v>
      </c>
      <c r="F180" t="n">
        <v>8</v>
      </c>
      <c r="G180" t="n">
        <v>1</v>
      </c>
      <c r="H180" t="n">
        <v>1</v>
      </c>
      <c r="I180" t="n">
        <v>0.160371</v>
      </c>
      <c r="J180" t="n">
        <v>0.1476</v>
      </c>
      <c r="K180" t="n">
        <v>0.692029</v>
      </c>
      <c r="L180" t="n">
        <v>0.177107</v>
      </c>
      <c r="M180" t="n">
        <v>0.273251</v>
      </c>
      <c r="N180" t="n">
        <v>0.549642</v>
      </c>
      <c r="O180" t="n">
        <v>0</v>
      </c>
      <c r="P180" t="n">
        <v>0</v>
      </c>
      <c r="Q180" t="n">
        <v>0</v>
      </c>
      <c r="R180" t="inlineStr">
        <is>
          <t>pass</t>
        </is>
      </c>
      <c r="S180" t="inlineStr"/>
      <c r="T180" t="inlineStr"/>
      <c r="V180">
        <f>(I180-O180)^2+(J180-P180)^2+(K180-Q180)^2</f>
        <v/>
      </c>
      <c r="W180">
        <f>IF(B180&lt;&gt;"KO","",IF(R180="pick",IF(VLOOKUP(A180,'Match Universe'!A:K,11,FALSE)=S180,"hit","miss"),IF(R180="pass","n/a","n/a")))</f>
        <v/>
      </c>
      <c r="X180" t="inlineStr">
        <is>
          <t>BACKTEST wc 2022</t>
        </is>
      </c>
    </row>
    <row r="181">
      <c r="A181" t="inlineStr">
        <is>
          <t>wc22-h-kor-por-20221202</t>
        </is>
      </c>
      <c r="B181" t="inlineStr">
        <is>
          <t>KO</t>
        </is>
      </c>
      <c r="C181" t="n">
        <v>1786</v>
      </c>
      <c r="D181" t="n">
        <v>2040</v>
      </c>
      <c r="E181" t="n">
        <v>0</v>
      </c>
      <c r="F181" t="n">
        <v>8</v>
      </c>
      <c r="G181" t="n">
        <v>1</v>
      </c>
      <c r="H181" t="n">
        <v>1</v>
      </c>
      <c r="I181" t="n">
        <v>0.160371</v>
      </c>
      <c r="J181" t="n">
        <v>0.1476</v>
      </c>
      <c r="K181" t="n">
        <v>0.692029</v>
      </c>
      <c r="L181" t="n">
        <v>0.177107</v>
      </c>
      <c r="M181" t="n">
        <v>0.273251</v>
      </c>
      <c r="N181" t="n">
        <v>0.549642</v>
      </c>
      <c r="O181" t="n">
        <v>1</v>
      </c>
      <c r="P181" t="n">
        <v>0</v>
      </c>
      <c r="Q181" t="n">
        <v>0</v>
      </c>
      <c r="R181" t="inlineStr">
        <is>
          <t>pass</t>
        </is>
      </c>
      <c r="S181" t="inlineStr"/>
      <c r="T181" t="inlineStr"/>
      <c r="V181">
        <f>(I181-O181)^2+(J181-P181)^2+(K181-Q181)^2</f>
        <v/>
      </c>
      <c r="W181">
        <f>IF(B181&lt;&gt;"KO","",IF(R181="pick",IF(VLOOKUP(A181,'Match Universe'!A:K,11,FALSE)=S181,"hit","miss"),IF(R181="pass","n/a","n/a")))</f>
        <v/>
      </c>
      <c r="X181" t="inlineStr">
        <is>
          <t>BACKTEST wc 2022</t>
        </is>
      </c>
    </row>
    <row r="182">
      <c r="A182" t="inlineStr">
        <is>
          <t>wc22-h-gha-uru-20221202</t>
        </is>
      </c>
      <c r="B182" t="inlineStr">
        <is>
          <t>T-38</t>
        </is>
      </c>
      <c r="C182" t="n">
        <v>1685</v>
      </c>
      <c r="D182" t="n">
        <v>1909</v>
      </c>
      <c r="E182" t="n">
        <v>0</v>
      </c>
      <c r="F182" t="n">
        <v>8</v>
      </c>
      <c r="G182" t="n">
        <v>1</v>
      </c>
      <c r="H182" t="n">
        <v>1</v>
      </c>
      <c r="I182" t="n">
        <v>0.180186</v>
      </c>
      <c r="J182" t="n">
        <v>0.1656</v>
      </c>
      <c r="K182" t="n">
        <v>0.654214</v>
      </c>
      <c r="L182" t="n">
        <v>0.166223</v>
      </c>
      <c r="M182" t="n">
        <v>0.29215</v>
      </c>
      <c r="N182" t="n">
        <v>0.541627</v>
      </c>
      <c r="O182" t="n">
        <v>0</v>
      </c>
      <c r="P182" t="n">
        <v>0</v>
      </c>
      <c r="Q182" t="n">
        <v>0</v>
      </c>
      <c r="R182" t="inlineStr">
        <is>
          <t>pass</t>
        </is>
      </c>
      <c r="S182" t="inlineStr"/>
      <c r="T182" t="inlineStr"/>
      <c r="V182">
        <f>(I182-O182)^2+(J182-P182)^2+(K182-Q182)^2</f>
        <v/>
      </c>
      <c r="W182">
        <f>IF(B182&lt;&gt;"KO","",IF(R182="pick",IF(VLOOKUP(A182,'Match Universe'!A:K,11,FALSE)=S182,"hit","miss"),IF(R182="pass","n/a","n/a")))</f>
        <v/>
      </c>
      <c r="X182" t="inlineStr">
        <is>
          <t>BACKTEST wc 2022</t>
        </is>
      </c>
    </row>
    <row r="183">
      <c r="A183" t="inlineStr">
        <is>
          <t>wc22-h-gha-uru-20221202</t>
        </is>
      </c>
      <c r="B183" t="inlineStr">
        <is>
          <t>T-5</t>
        </is>
      </c>
      <c r="C183" t="n">
        <v>1685</v>
      </c>
      <c r="D183" t="n">
        <v>1909</v>
      </c>
      <c r="E183" t="n">
        <v>0</v>
      </c>
      <c r="F183" t="n">
        <v>8</v>
      </c>
      <c r="G183" t="n">
        <v>1</v>
      </c>
      <c r="H183" t="n">
        <v>1</v>
      </c>
      <c r="I183" t="n">
        <v>0.180186</v>
      </c>
      <c r="J183" t="n">
        <v>0.1656</v>
      </c>
      <c r="K183" t="n">
        <v>0.654214</v>
      </c>
      <c r="L183" t="n">
        <v>0.166223</v>
      </c>
      <c r="M183" t="n">
        <v>0.29215</v>
      </c>
      <c r="N183" t="n">
        <v>0.541627</v>
      </c>
      <c r="O183" t="n">
        <v>0</v>
      </c>
      <c r="P183" t="n">
        <v>0</v>
      </c>
      <c r="Q183" t="n">
        <v>0</v>
      </c>
      <c r="R183" t="inlineStr">
        <is>
          <t>pass</t>
        </is>
      </c>
      <c r="S183" t="inlineStr"/>
      <c r="T183" t="inlineStr"/>
      <c r="V183">
        <f>(I183-O183)^2+(J183-P183)^2+(K183-Q183)^2</f>
        <v/>
      </c>
      <c r="W183">
        <f>IF(B183&lt;&gt;"KO","",IF(R183="pick",IF(VLOOKUP(A183,'Match Universe'!A:K,11,FALSE)=S183,"hit","miss"),IF(R183="pass","n/a","n/a")))</f>
        <v/>
      </c>
      <c r="X183" t="inlineStr">
        <is>
          <t>BACKTEST wc 2022</t>
        </is>
      </c>
    </row>
    <row r="184">
      <c r="A184" t="inlineStr">
        <is>
          <t>wc22-h-gha-uru-20221202</t>
        </is>
      </c>
      <c r="B184" t="inlineStr">
        <is>
          <t>T-1h</t>
        </is>
      </c>
      <c r="C184" t="n">
        <v>1685</v>
      </c>
      <c r="D184" t="n">
        <v>1909</v>
      </c>
      <c r="E184" t="n">
        <v>0</v>
      </c>
      <c r="F184" t="n">
        <v>8</v>
      </c>
      <c r="G184" t="n">
        <v>1</v>
      </c>
      <c r="H184" t="n">
        <v>1</v>
      </c>
      <c r="I184" t="n">
        <v>0.180186</v>
      </c>
      <c r="J184" t="n">
        <v>0.1656</v>
      </c>
      <c r="K184" t="n">
        <v>0.654214</v>
      </c>
      <c r="L184" t="n">
        <v>0.166223</v>
      </c>
      <c r="M184" t="n">
        <v>0.29215</v>
      </c>
      <c r="N184" t="n">
        <v>0.541627</v>
      </c>
      <c r="O184" t="n">
        <v>0</v>
      </c>
      <c r="P184" t="n">
        <v>0</v>
      </c>
      <c r="Q184" t="n">
        <v>0</v>
      </c>
      <c r="R184" t="inlineStr">
        <is>
          <t>pass</t>
        </is>
      </c>
      <c r="S184" t="inlineStr"/>
      <c r="T184" t="inlineStr"/>
      <c r="V184">
        <f>(I184-O184)^2+(J184-P184)^2+(K184-Q184)^2</f>
        <v/>
      </c>
      <c r="W184">
        <f>IF(B184&lt;&gt;"KO","",IF(R184="pick",IF(VLOOKUP(A184,'Match Universe'!A:K,11,FALSE)=S184,"hit","miss"),IF(R184="pass","n/a","n/a")))</f>
        <v/>
      </c>
      <c r="X184" t="inlineStr">
        <is>
          <t>BACKTEST wc 2022</t>
        </is>
      </c>
    </row>
    <row r="185">
      <c r="A185" t="inlineStr">
        <is>
          <t>wc22-h-gha-uru-20221202</t>
        </is>
      </c>
      <c r="B185" t="inlineStr">
        <is>
          <t>KO</t>
        </is>
      </c>
      <c r="C185" t="n">
        <v>1685</v>
      </c>
      <c r="D185" t="n">
        <v>1909</v>
      </c>
      <c r="E185" t="n">
        <v>0</v>
      </c>
      <c r="F185" t="n">
        <v>8</v>
      </c>
      <c r="G185" t="n">
        <v>1</v>
      </c>
      <c r="H185" t="n">
        <v>1</v>
      </c>
      <c r="I185" t="n">
        <v>0.180186</v>
      </c>
      <c r="J185" t="n">
        <v>0.1656</v>
      </c>
      <c r="K185" t="n">
        <v>0.654214</v>
      </c>
      <c r="L185" t="n">
        <v>0.166223</v>
      </c>
      <c r="M185" t="n">
        <v>0.29215</v>
      </c>
      <c r="N185" t="n">
        <v>0.541627</v>
      </c>
      <c r="O185" t="n">
        <v>0</v>
      </c>
      <c r="P185" t="n">
        <v>0</v>
      </c>
      <c r="Q185" t="n">
        <v>1</v>
      </c>
      <c r="R185" t="inlineStr">
        <is>
          <t>pass</t>
        </is>
      </c>
      <c r="S185" t="inlineStr"/>
      <c r="T185" t="inlineStr"/>
      <c r="V185">
        <f>(I185-O185)^2+(J185-P185)^2+(K185-Q185)^2</f>
        <v/>
      </c>
      <c r="W185">
        <f>IF(B185&lt;&gt;"KO","",IF(R185="pick",IF(VLOOKUP(A185,'Match Universe'!A:K,11,FALSE)=S185,"hit","miss"),IF(R185="pass","n/a","n/a")))</f>
        <v/>
      </c>
      <c r="X185" t="inlineStr">
        <is>
          <t>BACKTEST wc 2022</t>
        </is>
      </c>
    </row>
    <row r="186">
      <c r="A186" t="inlineStr">
        <is>
          <t>wc22-g-cmr-bra-20221202</t>
        </is>
      </c>
      <c r="B186" t="inlineStr">
        <is>
          <t>T-38</t>
        </is>
      </c>
      <c r="C186" t="n">
        <v>1739</v>
      </c>
      <c r="D186" t="n">
        <v>2169</v>
      </c>
      <c r="E186" t="n">
        <v>0</v>
      </c>
      <c r="F186" t="n">
        <v>8</v>
      </c>
      <c r="G186" t="n">
        <v>1</v>
      </c>
      <c r="H186" t="n">
        <v>1</v>
      </c>
      <c r="I186" t="n">
        <v>0.06984899999999999</v>
      </c>
      <c r="J186" t="n">
        <v>0.1</v>
      </c>
      <c r="K186" t="n">
        <v>0.830151</v>
      </c>
      <c r="L186" t="n">
        <v>0.078305</v>
      </c>
      <c r="M186" t="n">
        <v>0.168761</v>
      </c>
      <c r="N186" t="n">
        <v>0.752934</v>
      </c>
      <c r="O186" t="n">
        <v>0</v>
      </c>
      <c r="P186" t="n">
        <v>0</v>
      </c>
      <c r="Q186" t="n">
        <v>0</v>
      </c>
      <c r="R186" t="inlineStr">
        <is>
          <t>pass</t>
        </is>
      </c>
      <c r="S186" t="inlineStr"/>
      <c r="T186" t="inlineStr"/>
      <c r="V186">
        <f>(I186-O186)^2+(J186-P186)^2+(K186-Q186)^2</f>
        <v/>
      </c>
      <c r="W186">
        <f>IF(B186&lt;&gt;"KO","",IF(R186="pick",IF(VLOOKUP(A186,'Match Universe'!A:K,11,FALSE)=S186,"hit","miss"),IF(R186="pass","n/a","n/a")))</f>
        <v/>
      </c>
      <c r="X186" t="inlineStr">
        <is>
          <t>BACKTEST wc 2022</t>
        </is>
      </c>
    </row>
    <row r="187">
      <c r="A187" t="inlineStr">
        <is>
          <t>wc22-g-cmr-bra-20221202</t>
        </is>
      </c>
      <c r="B187" t="inlineStr">
        <is>
          <t>T-5</t>
        </is>
      </c>
      <c r="C187" t="n">
        <v>1739</v>
      </c>
      <c r="D187" t="n">
        <v>2169</v>
      </c>
      <c r="E187" t="n">
        <v>0</v>
      </c>
      <c r="F187" t="n">
        <v>8</v>
      </c>
      <c r="G187" t="n">
        <v>1</v>
      </c>
      <c r="H187" t="n">
        <v>1</v>
      </c>
      <c r="I187" t="n">
        <v>0.06984899999999999</v>
      </c>
      <c r="J187" t="n">
        <v>0.1</v>
      </c>
      <c r="K187" t="n">
        <v>0.830151</v>
      </c>
      <c r="L187" t="n">
        <v>0.078305</v>
      </c>
      <c r="M187" t="n">
        <v>0.168761</v>
      </c>
      <c r="N187" t="n">
        <v>0.752934</v>
      </c>
      <c r="O187" t="n">
        <v>0</v>
      </c>
      <c r="P187" t="n">
        <v>0</v>
      </c>
      <c r="Q187" t="n">
        <v>0</v>
      </c>
      <c r="R187" t="inlineStr">
        <is>
          <t>pass</t>
        </is>
      </c>
      <c r="S187" t="inlineStr"/>
      <c r="T187" t="inlineStr"/>
      <c r="V187">
        <f>(I187-O187)^2+(J187-P187)^2+(K187-Q187)^2</f>
        <v/>
      </c>
      <c r="W187">
        <f>IF(B187&lt;&gt;"KO","",IF(R187="pick",IF(VLOOKUP(A187,'Match Universe'!A:K,11,FALSE)=S187,"hit","miss"),IF(R187="pass","n/a","n/a")))</f>
        <v/>
      </c>
      <c r="X187" t="inlineStr">
        <is>
          <t>BACKTEST wc 2022</t>
        </is>
      </c>
    </row>
    <row r="188">
      <c r="A188" t="inlineStr">
        <is>
          <t>wc22-g-cmr-bra-20221202</t>
        </is>
      </c>
      <c r="B188" t="inlineStr">
        <is>
          <t>T-1h</t>
        </is>
      </c>
      <c r="C188" t="n">
        <v>1739</v>
      </c>
      <c r="D188" t="n">
        <v>2169</v>
      </c>
      <c r="E188" t="n">
        <v>0</v>
      </c>
      <c r="F188" t="n">
        <v>8</v>
      </c>
      <c r="G188" t="n">
        <v>1</v>
      </c>
      <c r="H188" t="n">
        <v>1</v>
      </c>
      <c r="I188" t="n">
        <v>0.06984899999999999</v>
      </c>
      <c r="J188" t="n">
        <v>0.1</v>
      </c>
      <c r="K188" t="n">
        <v>0.830151</v>
      </c>
      <c r="L188" t="n">
        <v>0.078305</v>
      </c>
      <c r="M188" t="n">
        <v>0.168761</v>
      </c>
      <c r="N188" t="n">
        <v>0.752934</v>
      </c>
      <c r="O188" t="n">
        <v>0</v>
      </c>
      <c r="P188" t="n">
        <v>0</v>
      </c>
      <c r="Q188" t="n">
        <v>0</v>
      </c>
      <c r="R188" t="inlineStr">
        <is>
          <t>pass</t>
        </is>
      </c>
      <c r="S188" t="inlineStr"/>
      <c r="T188" t="inlineStr"/>
      <c r="V188">
        <f>(I188-O188)^2+(J188-P188)^2+(K188-Q188)^2</f>
        <v/>
      </c>
      <c r="W188">
        <f>IF(B188&lt;&gt;"KO","",IF(R188="pick",IF(VLOOKUP(A188,'Match Universe'!A:K,11,FALSE)=S188,"hit","miss"),IF(R188="pass","n/a","n/a")))</f>
        <v/>
      </c>
      <c r="X188" t="inlineStr">
        <is>
          <t>BACKTEST wc 2022</t>
        </is>
      </c>
    </row>
    <row r="189">
      <c r="A189" t="inlineStr">
        <is>
          <t>wc22-g-cmr-bra-20221202</t>
        </is>
      </c>
      <c r="B189" t="inlineStr">
        <is>
          <t>KO</t>
        </is>
      </c>
      <c r="C189" t="n">
        <v>1739</v>
      </c>
      <c r="D189" t="n">
        <v>2169</v>
      </c>
      <c r="E189" t="n">
        <v>0</v>
      </c>
      <c r="F189" t="n">
        <v>8</v>
      </c>
      <c r="G189" t="n">
        <v>1</v>
      </c>
      <c r="H189" t="n">
        <v>1</v>
      </c>
      <c r="I189" t="n">
        <v>0.06984899999999999</v>
      </c>
      <c r="J189" t="n">
        <v>0.1</v>
      </c>
      <c r="K189" t="n">
        <v>0.830151</v>
      </c>
      <c r="L189" t="n">
        <v>0.078305</v>
      </c>
      <c r="M189" t="n">
        <v>0.168761</v>
      </c>
      <c r="N189" t="n">
        <v>0.752934</v>
      </c>
      <c r="O189" t="n">
        <v>1</v>
      </c>
      <c r="P189" t="n">
        <v>0</v>
      </c>
      <c r="Q189" t="n">
        <v>0</v>
      </c>
      <c r="R189" t="inlineStr">
        <is>
          <t>pass</t>
        </is>
      </c>
      <c r="S189" t="inlineStr"/>
      <c r="T189" t="inlineStr"/>
      <c r="V189">
        <f>(I189-O189)^2+(J189-P189)^2+(K189-Q189)^2</f>
        <v/>
      </c>
      <c r="W189">
        <f>IF(B189&lt;&gt;"KO","",IF(R189="pick",IF(VLOOKUP(A189,'Match Universe'!A:K,11,FALSE)=S189,"hit","miss"),IF(R189="pass","n/a","n/a")))</f>
        <v/>
      </c>
      <c r="X189" t="inlineStr">
        <is>
          <t>BACKTEST wc 2022</t>
        </is>
      </c>
    </row>
    <row r="190">
      <c r="A190" t="inlineStr">
        <is>
          <t>wc22-g-srb-sui-20221202</t>
        </is>
      </c>
      <c r="B190" t="inlineStr">
        <is>
          <t>T-38</t>
        </is>
      </c>
      <c r="C190" t="n">
        <v>1804</v>
      </c>
      <c r="D190" t="n">
        <v>1881</v>
      </c>
      <c r="E190" t="n">
        <v>0</v>
      </c>
      <c r="F190" t="n">
        <v>8</v>
      </c>
      <c r="G190" t="n">
        <v>1</v>
      </c>
      <c r="H190" t="n">
        <v>1</v>
      </c>
      <c r="I190" t="n">
        <v>0.29174</v>
      </c>
      <c r="J190" t="n">
        <v>0.2538</v>
      </c>
      <c r="K190" t="n">
        <v>0.45446</v>
      </c>
      <c r="L190" t="n">
        <v>0.324808</v>
      </c>
      <c r="M190" t="n">
        <v>0.299433</v>
      </c>
      <c r="N190" t="n">
        <v>0.375759</v>
      </c>
      <c r="O190" t="n">
        <v>0</v>
      </c>
      <c r="P190" t="n">
        <v>0</v>
      </c>
      <c r="Q190" t="n">
        <v>0</v>
      </c>
      <c r="R190" t="inlineStr">
        <is>
          <t>pass</t>
        </is>
      </c>
      <c r="S190" t="inlineStr"/>
      <c r="T190" t="inlineStr"/>
      <c r="V190">
        <f>(I190-O190)^2+(J190-P190)^2+(K190-Q190)^2</f>
        <v/>
      </c>
      <c r="W190">
        <f>IF(B190&lt;&gt;"KO","",IF(R190="pick",IF(VLOOKUP(A190,'Match Universe'!A:K,11,FALSE)=S190,"hit","miss"),IF(R190="pass","n/a","n/a")))</f>
        <v/>
      </c>
      <c r="X190" t="inlineStr">
        <is>
          <t>BACKTEST wc 2022</t>
        </is>
      </c>
    </row>
    <row r="191">
      <c r="A191" t="inlineStr">
        <is>
          <t>wc22-g-srb-sui-20221202</t>
        </is>
      </c>
      <c r="B191" t="inlineStr">
        <is>
          <t>T-5</t>
        </is>
      </c>
      <c r="C191" t="n">
        <v>1804</v>
      </c>
      <c r="D191" t="n">
        <v>1881</v>
      </c>
      <c r="E191" t="n">
        <v>0</v>
      </c>
      <c r="F191" t="n">
        <v>8</v>
      </c>
      <c r="G191" t="n">
        <v>1</v>
      </c>
      <c r="H191" t="n">
        <v>1</v>
      </c>
      <c r="I191" t="n">
        <v>0.29174</v>
      </c>
      <c r="J191" t="n">
        <v>0.2538</v>
      </c>
      <c r="K191" t="n">
        <v>0.45446</v>
      </c>
      <c r="L191" t="n">
        <v>0.324808</v>
      </c>
      <c r="M191" t="n">
        <v>0.299433</v>
      </c>
      <c r="N191" t="n">
        <v>0.375759</v>
      </c>
      <c r="O191" t="n">
        <v>0</v>
      </c>
      <c r="P191" t="n">
        <v>0</v>
      </c>
      <c r="Q191" t="n">
        <v>0</v>
      </c>
      <c r="R191" t="inlineStr">
        <is>
          <t>pass</t>
        </is>
      </c>
      <c r="S191" t="inlineStr"/>
      <c r="T191" t="inlineStr"/>
      <c r="V191">
        <f>(I191-O191)^2+(J191-P191)^2+(K191-Q191)^2</f>
        <v/>
      </c>
      <c r="W191">
        <f>IF(B191&lt;&gt;"KO","",IF(R191="pick",IF(VLOOKUP(A191,'Match Universe'!A:K,11,FALSE)=S191,"hit","miss"),IF(R191="pass","n/a","n/a")))</f>
        <v/>
      </c>
      <c r="X191" t="inlineStr">
        <is>
          <t>BACKTEST wc 2022</t>
        </is>
      </c>
    </row>
    <row r="192">
      <c r="A192" t="inlineStr">
        <is>
          <t>wc22-g-srb-sui-20221202</t>
        </is>
      </c>
      <c r="B192" t="inlineStr">
        <is>
          <t>T-1h</t>
        </is>
      </c>
      <c r="C192" t="n">
        <v>1804</v>
      </c>
      <c r="D192" t="n">
        <v>1881</v>
      </c>
      <c r="E192" t="n">
        <v>0</v>
      </c>
      <c r="F192" t="n">
        <v>8</v>
      </c>
      <c r="G192" t="n">
        <v>1</v>
      </c>
      <c r="H192" t="n">
        <v>1</v>
      </c>
      <c r="I192" t="n">
        <v>0.29174</v>
      </c>
      <c r="J192" t="n">
        <v>0.2538</v>
      </c>
      <c r="K192" t="n">
        <v>0.45446</v>
      </c>
      <c r="L192" t="n">
        <v>0.324808</v>
      </c>
      <c r="M192" t="n">
        <v>0.299433</v>
      </c>
      <c r="N192" t="n">
        <v>0.375759</v>
      </c>
      <c r="O192" t="n">
        <v>0</v>
      </c>
      <c r="P192" t="n">
        <v>0</v>
      </c>
      <c r="Q192" t="n">
        <v>0</v>
      </c>
      <c r="R192" t="inlineStr">
        <is>
          <t>pass</t>
        </is>
      </c>
      <c r="S192" t="inlineStr"/>
      <c r="T192" t="inlineStr"/>
      <c r="V192">
        <f>(I192-O192)^2+(J192-P192)^2+(K192-Q192)^2</f>
        <v/>
      </c>
      <c r="W192">
        <f>IF(B192&lt;&gt;"KO","",IF(R192="pick",IF(VLOOKUP(A192,'Match Universe'!A:K,11,FALSE)=S192,"hit","miss"),IF(R192="pass","n/a","n/a")))</f>
        <v/>
      </c>
      <c r="X192" t="inlineStr">
        <is>
          <t>BACKTEST wc 2022</t>
        </is>
      </c>
    </row>
    <row r="193">
      <c r="A193" t="inlineStr">
        <is>
          <t>wc22-g-srb-sui-20221202</t>
        </is>
      </c>
      <c r="B193" t="inlineStr">
        <is>
          <t>KO</t>
        </is>
      </c>
      <c r="C193" t="n">
        <v>1804</v>
      </c>
      <c r="D193" t="n">
        <v>1881</v>
      </c>
      <c r="E193" t="n">
        <v>0</v>
      </c>
      <c r="F193" t="n">
        <v>8</v>
      </c>
      <c r="G193" t="n">
        <v>1</v>
      </c>
      <c r="H193" t="n">
        <v>1</v>
      </c>
      <c r="I193" t="n">
        <v>0.29174</v>
      </c>
      <c r="J193" t="n">
        <v>0.2538</v>
      </c>
      <c r="K193" t="n">
        <v>0.45446</v>
      </c>
      <c r="L193" t="n">
        <v>0.324808</v>
      </c>
      <c r="M193" t="n">
        <v>0.299433</v>
      </c>
      <c r="N193" t="n">
        <v>0.375759</v>
      </c>
      <c r="O193" t="n">
        <v>0</v>
      </c>
      <c r="P193" t="n">
        <v>0</v>
      </c>
      <c r="Q193" t="n">
        <v>1</v>
      </c>
      <c r="R193" t="inlineStr">
        <is>
          <t>pass</t>
        </is>
      </c>
      <c r="S193" t="inlineStr"/>
      <c r="T193" t="inlineStr"/>
      <c r="V193">
        <f>(I193-O193)^2+(J193-P193)^2+(K193-Q193)^2</f>
        <v/>
      </c>
      <c r="W193">
        <f>IF(B193&lt;&gt;"KO","",IF(R193="pick",IF(VLOOKUP(A193,'Match Universe'!A:K,11,FALSE)=S193,"hit","miss"),IF(R193="pass","n/a","n/a")))</f>
        <v/>
      </c>
      <c r="X193" t="inlineStr">
        <is>
          <t>BACKTEST wc 2022</t>
        </is>
      </c>
    </row>
    <row r="194">
      <c r="A194" t="inlineStr">
        <is>
          <t>wc22-r16-ned-usa-20221203</t>
        </is>
      </c>
      <c r="B194" t="inlineStr">
        <is>
          <t>T-38</t>
        </is>
      </c>
      <c r="C194" t="n">
        <v>2040</v>
      </c>
      <c r="D194" t="n">
        <v>1798</v>
      </c>
      <c r="E194" t="n">
        <v>0</v>
      </c>
      <c r="F194" t="n">
        <v>18</v>
      </c>
      <c r="G194" t="n">
        <v>1</v>
      </c>
      <c r="H194" t="n">
        <v>1</v>
      </c>
      <c r="I194" t="n">
        <v>0.677074</v>
      </c>
      <c r="J194" t="n">
        <v>0.1548</v>
      </c>
      <c r="K194" t="n">
        <v>0.168126</v>
      </c>
      <c r="L194" t="n">
        <v>0.51492</v>
      </c>
      <c r="M194" t="n">
        <v>0.288667</v>
      </c>
      <c r="N194" t="n">
        <v>0.196413</v>
      </c>
      <c r="O194" t="n">
        <v>0</v>
      </c>
      <c r="P194" t="n">
        <v>0</v>
      </c>
      <c r="Q194" t="n">
        <v>0</v>
      </c>
      <c r="R194" t="inlineStr">
        <is>
          <t>pass</t>
        </is>
      </c>
      <c r="S194" t="inlineStr"/>
      <c r="T194" t="inlineStr"/>
      <c r="V194">
        <f>(I194-O194)^2+(J194-P194)^2+(K194-Q194)^2</f>
        <v/>
      </c>
      <c r="W194">
        <f>IF(B194&lt;&gt;"KO","",IF(R194="pick",IF(VLOOKUP(A194,'Match Universe'!A:K,11,FALSE)=S194,"hit","miss"),IF(R194="pass","n/a","n/a")))</f>
        <v/>
      </c>
      <c r="X194" t="inlineStr">
        <is>
          <t>BACKTEST wc 2022</t>
        </is>
      </c>
    </row>
    <row r="195">
      <c r="A195" t="inlineStr">
        <is>
          <t>wc22-r16-ned-usa-20221203</t>
        </is>
      </c>
      <c r="B195" t="inlineStr">
        <is>
          <t>T-5</t>
        </is>
      </c>
      <c r="C195" t="n">
        <v>2040</v>
      </c>
      <c r="D195" t="n">
        <v>1798</v>
      </c>
      <c r="E195" t="n">
        <v>0</v>
      </c>
      <c r="F195" t="n">
        <v>18</v>
      </c>
      <c r="G195" t="n">
        <v>1</v>
      </c>
      <c r="H195" t="n">
        <v>1</v>
      </c>
      <c r="I195" t="n">
        <v>0.677074</v>
      </c>
      <c r="J195" t="n">
        <v>0.1548</v>
      </c>
      <c r="K195" t="n">
        <v>0.168126</v>
      </c>
      <c r="L195" t="n">
        <v>0.51492</v>
      </c>
      <c r="M195" t="n">
        <v>0.288667</v>
      </c>
      <c r="N195" t="n">
        <v>0.196413</v>
      </c>
      <c r="O195" t="n">
        <v>0</v>
      </c>
      <c r="P195" t="n">
        <v>0</v>
      </c>
      <c r="Q195" t="n">
        <v>0</v>
      </c>
      <c r="R195" t="inlineStr">
        <is>
          <t>pass</t>
        </is>
      </c>
      <c r="S195" t="inlineStr"/>
      <c r="T195" t="inlineStr"/>
      <c r="V195">
        <f>(I195-O195)^2+(J195-P195)^2+(K195-Q195)^2</f>
        <v/>
      </c>
      <c r="W195">
        <f>IF(B195&lt;&gt;"KO","",IF(R195="pick",IF(VLOOKUP(A195,'Match Universe'!A:K,11,FALSE)=S195,"hit","miss"),IF(R195="pass","n/a","n/a")))</f>
        <v/>
      </c>
      <c r="X195" t="inlineStr">
        <is>
          <t>BACKTEST wc 2022</t>
        </is>
      </c>
    </row>
    <row r="196">
      <c r="A196" t="inlineStr">
        <is>
          <t>wc22-r16-ned-usa-20221203</t>
        </is>
      </c>
      <c r="B196" t="inlineStr">
        <is>
          <t>T-1h</t>
        </is>
      </c>
      <c r="C196" t="n">
        <v>2040</v>
      </c>
      <c r="D196" t="n">
        <v>1798</v>
      </c>
      <c r="E196" t="n">
        <v>0</v>
      </c>
      <c r="F196" t="n">
        <v>18</v>
      </c>
      <c r="G196" t="n">
        <v>1</v>
      </c>
      <c r="H196" t="n">
        <v>1</v>
      </c>
      <c r="I196" t="n">
        <v>0.677074</v>
      </c>
      <c r="J196" t="n">
        <v>0.1548</v>
      </c>
      <c r="K196" t="n">
        <v>0.168126</v>
      </c>
      <c r="L196" t="n">
        <v>0.51492</v>
      </c>
      <c r="M196" t="n">
        <v>0.288667</v>
      </c>
      <c r="N196" t="n">
        <v>0.196413</v>
      </c>
      <c r="O196" t="n">
        <v>0</v>
      </c>
      <c r="P196" t="n">
        <v>0</v>
      </c>
      <c r="Q196" t="n">
        <v>0</v>
      </c>
      <c r="R196" t="inlineStr">
        <is>
          <t>pass</t>
        </is>
      </c>
      <c r="S196" t="inlineStr"/>
      <c r="T196" t="inlineStr"/>
      <c r="V196">
        <f>(I196-O196)^2+(J196-P196)^2+(K196-Q196)^2</f>
        <v/>
      </c>
      <c r="W196">
        <f>IF(B196&lt;&gt;"KO","",IF(R196="pick",IF(VLOOKUP(A196,'Match Universe'!A:K,11,FALSE)=S196,"hit","miss"),IF(R196="pass","n/a","n/a")))</f>
        <v/>
      </c>
      <c r="X196" t="inlineStr">
        <is>
          <t>BACKTEST wc 2022</t>
        </is>
      </c>
    </row>
    <row r="197">
      <c r="A197" t="inlineStr">
        <is>
          <t>wc22-r16-ned-usa-20221203</t>
        </is>
      </c>
      <c r="B197" t="inlineStr">
        <is>
          <t>KO</t>
        </is>
      </c>
      <c r="C197" t="n">
        <v>2040</v>
      </c>
      <c r="D197" t="n">
        <v>1798</v>
      </c>
      <c r="E197" t="n">
        <v>0</v>
      </c>
      <c r="F197" t="n">
        <v>18</v>
      </c>
      <c r="G197" t="n">
        <v>1</v>
      </c>
      <c r="H197" t="n">
        <v>1</v>
      </c>
      <c r="I197" t="n">
        <v>0.677074</v>
      </c>
      <c r="J197" t="n">
        <v>0.1548</v>
      </c>
      <c r="K197" t="n">
        <v>0.168126</v>
      </c>
      <c r="L197" t="n">
        <v>0.51492</v>
      </c>
      <c r="M197" t="n">
        <v>0.288667</v>
      </c>
      <c r="N197" t="n">
        <v>0.196413</v>
      </c>
      <c r="O197" t="n">
        <v>1</v>
      </c>
      <c r="P197" t="n">
        <v>0</v>
      </c>
      <c r="Q197" t="n">
        <v>0</v>
      </c>
      <c r="R197" t="inlineStr">
        <is>
          <t>pass</t>
        </is>
      </c>
      <c r="S197" t="inlineStr"/>
      <c r="T197" t="inlineStr"/>
      <c r="V197">
        <f>(I197-O197)^2+(J197-P197)^2+(K197-Q197)^2</f>
        <v/>
      </c>
      <c r="W197">
        <f>IF(B197&lt;&gt;"KO","",IF(R197="pick",IF(VLOOKUP(A197,'Match Universe'!A:K,11,FALSE)=S197,"hit","miss"),IF(R197="pass","n/a","n/a")))</f>
        <v/>
      </c>
      <c r="X197" t="inlineStr">
        <is>
          <t>BACKTEST wc 2022</t>
        </is>
      </c>
    </row>
    <row r="198">
      <c r="A198" t="inlineStr">
        <is>
          <t>wc22-r16-arg-aus-20221203</t>
        </is>
      </c>
      <c r="B198" t="inlineStr">
        <is>
          <t>T-38</t>
        </is>
      </c>
      <c r="C198" t="n">
        <v>2142</v>
      </c>
      <c r="D198" t="n">
        <v>1720</v>
      </c>
      <c r="E198" t="n">
        <v>0</v>
      </c>
      <c r="F198" t="n">
        <v>18</v>
      </c>
      <c r="G198" t="n">
        <v>1</v>
      </c>
      <c r="H198" t="n">
        <v>1</v>
      </c>
      <c r="I198" t="n">
        <v>0.827126</v>
      </c>
      <c r="J198" t="n">
        <v>0.1</v>
      </c>
      <c r="K198" t="n">
        <v>0.07287399999999999</v>
      </c>
      <c r="L198" t="n">
        <v>0.738255</v>
      </c>
      <c r="M198" t="n">
        <v>0.174497</v>
      </c>
      <c r="N198" t="n">
        <v>0.08724800000000001</v>
      </c>
      <c r="O198" t="n">
        <v>0</v>
      </c>
      <c r="P198" t="n">
        <v>0</v>
      </c>
      <c r="Q198" t="n">
        <v>0</v>
      </c>
      <c r="R198" t="inlineStr">
        <is>
          <t>pick</t>
        </is>
      </c>
      <c r="S198" t="inlineStr">
        <is>
          <t>Argentina</t>
        </is>
      </c>
      <c r="T198" t="inlineStr">
        <is>
          <t>polymarket</t>
        </is>
      </c>
      <c r="U198" t="n">
        <v>8.890000000000001</v>
      </c>
      <c r="V198">
        <f>(I198-O198)^2+(J198-P198)^2+(K198-Q198)^2</f>
        <v/>
      </c>
      <c r="W198">
        <f>IF(B198&lt;&gt;"KO","",IF(R198="pick",IF(VLOOKUP(A198,'Match Universe'!A:K,11,FALSE)=S198,"hit","miss"),IF(R198="pass","n/a","n/a")))</f>
        <v/>
      </c>
      <c r="X198" t="inlineStr">
        <is>
          <t>BACKTEST wc 2022</t>
        </is>
      </c>
    </row>
    <row r="199">
      <c r="A199" t="inlineStr">
        <is>
          <t>wc22-r16-arg-aus-20221203</t>
        </is>
      </c>
      <c r="B199" t="inlineStr">
        <is>
          <t>T-5</t>
        </is>
      </c>
      <c r="C199" t="n">
        <v>2142</v>
      </c>
      <c r="D199" t="n">
        <v>1720</v>
      </c>
      <c r="E199" t="n">
        <v>0</v>
      </c>
      <c r="F199" t="n">
        <v>18</v>
      </c>
      <c r="G199" t="n">
        <v>1</v>
      </c>
      <c r="H199" t="n">
        <v>1</v>
      </c>
      <c r="I199" t="n">
        <v>0.827126</v>
      </c>
      <c r="J199" t="n">
        <v>0.1</v>
      </c>
      <c r="K199" t="n">
        <v>0.07287399999999999</v>
      </c>
      <c r="L199" t="n">
        <v>0.738255</v>
      </c>
      <c r="M199" t="n">
        <v>0.174497</v>
      </c>
      <c r="N199" t="n">
        <v>0.08724800000000001</v>
      </c>
      <c r="O199" t="n">
        <v>0</v>
      </c>
      <c r="P199" t="n">
        <v>0</v>
      </c>
      <c r="Q199" t="n">
        <v>0</v>
      </c>
      <c r="R199" t="inlineStr">
        <is>
          <t>pick</t>
        </is>
      </c>
      <c r="S199" t="inlineStr">
        <is>
          <t>Argentina</t>
        </is>
      </c>
      <c r="T199" t="inlineStr">
        <is>
          <t>polymarket</t>
        </is>
      </c>
      <c r="U199" t="n">
        <v>8.890000000000001</v>
      </c>
      <c r="V199">
        <f>(I199-O199)^2+(J199-P199)^2+(K199-Q199)^2</f>
        <v/>
      </c>
      <c r="W199">
        <f>IF(B199&lt;&gt;"KO","",IF(R199="pick",IF(VLOOKUP(A199,'Match Universe'!A:K,11,FALSE)=S199,"hit","miss"),IF(R199="pass","n/a","n/a")))</f>
        <v/>
      </c>
      <c r="X199" t="inlineStr">
        <is>
          <t>BACKTEST wc 2022</t>
        </is>
      </c>
    </row>
    <row r="200">
      <c r="A200" t="inlineStr">
        <is>
          <t>wc22-r16-arg-aus-20221203</t>
        </is>
      </c>
      <c r="B200" t="inlineStr">
        <is>
          <t>T-1h</t>
        </is>
      </c>
      <c r="C200" t="n">
        <v>2142</v>
      </c>
      <c r="D200" t="n">
        <v>1720</v>
      </c>
      <c r="E200" t="n">
        <v>0</v>
      </c>
      <c r="F200" t="n">
        <v>18</v>
      </c>
      <c r="G200" t="n">
        <v>1</v>
      </c>
      <c r="H200" t="n">
        <v>1</v>
      </c>
      <c r="I200" t="n">
        <v>0.827126</v>
      </c>
      <c r="J200" t="n">
        <v>0.1</v>
      </c>
      <c r="K200" t="n">
        <v>0.07287399999999999</v>
      </c>
      <c r="L200" t="n">
        <v>0.738255</v>
      </c>
      <c r="M200" t="n">
        <v>0.174497</v>
      </c>
      <c r="N200" t="n">
        <v>0.08724800000000001</v>
      </c>
      <c r="O200" t="n">
        <v>0</v>
      </c>
      <c r="P200" t="n">
        <v>0</v>
      </c>
      <c r="Q200" t="n">
        <v>0</v>
      </c>
      <c r="R200" t="inlineStr">
        <is>
          <t>pick</t>
        </is>
      </c>
      <c r="S200" t="inlineStr">
        <is>
          <t>Argentina</t>
        </is>
      </c>
      <c r="T200" t="inlineStr">
        <is>
          <t>polymarket</t>
        </is>
      </c>
      <c r="U200" t="n">
        <v>8.890000000000001</v>
      </c>
      <c r="V200">
        <f>(I200-O200)^2+(J200-P200)^2+(K200-Q200)^2</f>
        <v/>
      </c>
      <c r="W200">
        <f>IF(B200&lt;&gt;"KO","",IF(R200="pick",IF(VLOOKUP(A200,'Match Universe'!A:K,11,FALSE)=S200,"hit","miss"),IF(R200="pass","n/a","n/a")))</f>
        <v/>
      </c>
      <c r="X200" t="inlineStr">
        <is>
          <t>BACKTEST wc 2022</t>
        </is>
      </c>
    </row>
    <row r="201">
      <c r="A201" t="inlineStr">
        <is>
          <t>wc22-r16-arg-aus-20221203</t>
        </is>
      </c>
      <c r="B201" t="inlineStr">
        <is>
          <t>KO</t>
        </is>
      </c>
      <c r="C201" t="n">
        <v>2142</v>
      </c>
      <c r="D201" t="n">
        <v>1720</v>
      </c>
      <c r="E201" t="n">
        <v>0</v>
      </c>
      <c r="F201" t="n">
        <v>18</v>
      </c>
      <c r="G201" t="n">
        <v>1</v>
      </c>
      <c r="H201" t="n">
        <v>1</v>
      </c>
      <c r="I201" t="n">
        <v>0.827126</v>
      </c>
      <c r="J201" t="n">
        <v>0.1</v>
      </c>
      <c r="K201" t="n">
        <v>0.07287399999999999</v>
      </c>
      <c r="L201" t="n">
        <v>0.738255</v>
      </c>
      <c r="M201" t="n">
        <v>0.174497</v>
      </c>
      <c r="N201" t="n">
        <v>0.08724800000000001</v>
      </c>
      <c r="O201" t="n">
        <v>1</v>
      </c>
      <c r="P201" t="n">
        <v>0</v>
      </c>
      <c r="Q201" t="n">
        <v>0</v>
      </c>
      <c r="R201" t="inlineStr">
        <is>
          <t>pick</t>
        </is>
      </c>
      <c r="S201" t="inlineStr">
        <is>
          <t>Argentina</t>
        </is>
      </c>
      <c r="T201" t="inlineStr">
        <is>
          <t>polymarket</t>
        </is>
      </c>
      <c r="U201" t="n">
        <v>8.890000000000001</v>
      </c>
      <c r="V201">
        <f>(I201-O201)^2+(J201-P201)^2+(K201-Q201)^2</f>
        <v/>
      </c>
      <c r="W201">
        <f>IF(B201&lt;&gt;"KO","",IF(R201="pick",IF(VLOOKUP(A201,'Match Universe'!A:K,11,FALSE)=S201,"hit","miss"),IF(R201="pass","n/a","n/a")))</f>
        <v/>
      </c>
      <c r="X201" t="inlineStr">
        <is>
          <t>BACKTEST wc 2022</t>
        </is>
      </c>
    </row>
    <row r="202">
      <c r="A202" t="inlineStr">
        <is>
          <t>wc22-r16-fra-pol-20221204</t>
        </is>
      </c>
      <c r="B202" t="inlineStr">
        <is>
          <t>T-38</t>
        </is>
      </c>
      <c r="C202" t="n">
        <v>2080</v>
      </c>
      <c r="D202" t="n">
        <v>1855</v>
      </c>
      <c r="E202" t="n">
        <v>0</v>
      </c>
      <c r="F202" t="n">
        <v>8</v>
      </c>
      <c r="G202" t="n">
        <v>1</v>
      </c>
      <c r="H202" t="n">
        <v>1</v>
      </c>
      <c r="I202" t="n">
        <v>0.655497</v>
      </c>
      <c r="J202" t="n">
        <v>0.165</v>
      </c>
      <c r="K202" t="n">
        <v>0.179503</v>
      </c>
      <c r="L202" t="n">
        <v>0.634621</v>
      </c>
      <c r="M202" t="n">
        <v>0.228759</v>
      </c>
      <c r="N202" t="n">
        <v>0.13662</v>
      </c>
      <c r="O202" t="n">
        <v>0</v>
      </c>
      <c r="P202" t="n">
        <v>0</v>
      </c>
      <c r="Q202" t="n">
        <v>0</v>
      </c>
      <c r="R202" t="inlineStr">
        <is>
          <t>pass</t>
        </is>
      </c>
      <c r="S202" t="inlineStr"/>
      <c r="T202" t="inlineStr"/>
      <c r="V202">
        <f>(I202-O202)^2+(J202-P202)^2+(K202-Q202)^2</f>
        <v/>
      </c>
      <c r="W202">
        <f>IF(B202&lt;&gt;"KO","",IF(R202="pick",IF(VLOOKUP(A202,'Match Universe'!A:K,11,FALSE)=S202,"hit","miss"),IF(R202="pass","n/a","n/a")))</f>
        <v/>
      </c>
      <c r="X202" t="inlineStr">
        <is>
          <t>BACKTEST wc 2022</t>
        </is>
      </c>
    </row>
    <row r="203">
      <c r="A203" t="inlineStr">
        <is>
          <t>wc22-r16-fra-pol-20221204</t>
        </is>
      </c>
      <c r="B203" t="inlineStr">
        <is>
          <t>T-5</t>
        </is>
      </c>
      <c r="C203" t="n">
        <v>2080</v>
      </c>
      <c r="D203" t="n">
        <v>1855</v>
      </c>
      <c r="E203" t="n">
        <v>0</v>
      </c>
      <c r="F203" t="n">
        <v>8</v>
      </c>
      <c r="G203" t="n">
        <v>1</v>
      </c>
      <c r="H203" t="n">
        <v>1</v>
      </c>
      <c r="I203" t="n">
        <v>0.655497</v>
      </c>
      <c r="J203" t="n">
        <v>0.165</v>
      </c>
      <c r="K203" t="n">
        <v>0.179503</v>
      </c>
      <c r="L203" t="n">
        <v>0.634621</v>
      </c>
      <c r="M203" t="n">
        <v>0.228759</v>
      </c>
      <c r="N203" t="n">
        <v>0.13662</v>
      </c>
      <c r="O203" t="n">
        <v>0</v>
      </c>
      <c r="P203" t="n">
        <v>0</v>
      </c>
      <c r="Q203" t="n">
        <v>0</v>
      </c>
      <c r="R203" t="inlineStr">
        <is>
          <t>pass</t>
        </is>
      </c>
      <c r="S203" t="inlineStr"/>
      <c r="T203" t="inlineStr"/>
      <c r="V203">
        <f>(I203-O203)^2+(J203-P203)^2+(K203-Q203)^2</f>
        <v/>
      </c>
      <c r="W203">
        <f>IF(B203&lt;&gt;"KO","",IF(R203="pick",IF(VLOOKUP(A203,'Match Universe'!A:K,11,FALSE)=S203,"hit","miss"),IF(R203="pass","n/a","n/a")))</f>
        <v/>
      </c>
      <c r="X203" t="inlineStr">
        <is>
          <t>BACKTEST wc 2022</t>
        </is>
      </c>
    </row>
    <row r="204">
      <c r="A204" t="inlineStr">
        <is>
          <t>wc22-r16-fra-pol-20221204</t>
        </is>
      </c>
      <c r="B204" t="inlineStr">
        <is>
          <t>T-1h</t>
        </is>
      </c>
      <c r="C204" t="n">
        <v>2080</v>
      </c>
      <c r="D204" t="n">
        <v>1855</v>
      </c>
      <c r="E204" t="n">
        <v>0</v>
      </c>
      <c r="F204" t="n">
        <v>8</v>
      </c>
      <c r="G204" t="n">
        <v>1</v>
      </c>
      <c r="H204" t="n">
        <v>1</v>
      </c>
      <c r="I204" t="n">
        <v>0.655497</v>
      </c>
      <c r="J204" t="n">
        <v>0.165</v>
      </c>
      <c r="K204" t="n">
        <v>0.179503</v>
      </c>
      <c r="L204" t="n">
        <v>0.634621</v>
      </c>
      <c r="M204" t="n">
        <v>0.228759</v>
      </c>
      <c r="N204" t="n">
        <v>0.13662</v>
      </c>
      <c r="O204" t="n">
        <v>0</v>
      </c>
      <c r="P204" t="n">
        <v>0</v>
      </c>
      <c r="Q204" t="n">
        <v>0</v>
      </c>
      <c r="R204" t="inlineStr">
        <is>
          <t>pass</t>
        </is>
      </c>
      <c r="S204" t="inlineStr"/>
      <c r="T204" t="inlineStr"/>
      <c r="V204">
        <f>(I204-O204)^2+(J204-P204)^2+(K204-Q204)^2</f>
        <v/>
      </c>
      <c r="W204">
        <f>IF(B204&lt;&gt;"KO","",IF(R204="pick",IF(VLOOKUP(A204,'Match Universe'!A:K,11,FALSE)=S204,"hit","miss"),IF(R204="pass","n/a","n/a")))</f>
        <v/>
      </c>
      <c r="X204" t="inlineStr">
        <is>
          <t>BACKTEST wc 2022</t>
        </is>
      </c>
    </row>
    <row r="205">
      <c r="A205" t="inlineStr">
        <is>
          <t>wc22-r16-fra-pol-20221204</t>
        </is>
      </c>
      <c r="B205" t="inlineStr">
        <is>
          <t>KO</t>
        </is>
      </c>
      <c r="C205" t="n">
        <v>2080</v>
      </c>
      <c r="D205" t="n">
        <v>1855</v>
      </c>
      <c r="E205" t="n">
        <v>0</v>
      </c>
      <c r="F205" t="n">
        <v>8</v>
      </c>
      <c r="G205" t="n">
        <v>1</v>
      </c>
      <c r="H205" t="n">
        <v>1</v>
      </c>
      <c r="I205" t="n">
        <v>0.655497</v>
      </c>
      <c r="J205" t="n">
        <v>0.165</v>
      </c>
      <c r="K205" t="n">
        <v>0.179503</v>
      </c>
      <c r="L205" t="n">
        <v>0.634621</v>
      </c>
      <c r="M205" t="n">
        <v>0.228759</v>
      </c>
      <c r="N205" t="n">
        <v>0.13662</v>
      </c>
      <c r="O205" t="n">
        <v>1</v>
      </c>
      <c r="P205" t="n">
        <v>0</v>
      </c>
      <c r="Q205" t="n">
        <v>0</v>
      </c>
      <c r="R205" t="inlineStr">
        <is>
          <t>pass</t>
        </is>
      </c>
      <c r="S205" t="inlineStr"/>
      <c r="T205" t="inlineStr"/>
      <c r="V205">
        <f>(I205-O205)^2+(J205-P205)^2+(K205-Q205)^2</f>
        <v/>
      </c>
      <c r="W205">
        <f>IF(B205&lt;&gt;"KO","",IF(R205="pick",IF(VLOOKUP(A205,'Match Universe'!A:K,11,FALSE)=S205,"hit","miss"),IF(R205="pass","n/a","n/a")))</f>
        <v/>
      </c>
      <c r="X205" t="inlineStr">
        <is>
          <t>BACKTEST wc 2022</t>
        </is>
      </c>
    </row>
    <row r="206">
      <c r="A206" t="inlineStr">
        <is>
          <t>wc22-r16-eng-sen-20221204</t>
        </is>
      </c>
      <c r="B206" t="inlineStr">
        <is>
          <t>T-38</t>
        </is>
      </c>
      <c r="C206" t="n">
        <v>2020</v>
      </c>
      <c r="D206" t="n">
        <v>1858</v>
      </c>
      <c r="E206" t="n">
        <v>0</v>
      </c>
      <c r="F206" t="n">
        <v>12</v>
      </c>
      <c r="G206" t="n">
        <v>1</v>
      </c>
      <c r="H206" t="n">
        <v>1</v>
      </c>
      <c r="I206" t="n">
        <v>0.572064</v>
      </c>
      <c r="J206" t="n">
        <v>0.2028</v>
      </c>
      <c r="K206" t="n">
        <v>0.225136</v>
      </c>
      <c r="L206" t="n">
        <v>0.672658</v>
      </c>
      <c r="M206" t="n">
        <v>0.212261</v>
      </c>
      <c r="N206" t="n">
        <v>0.115081</v>
      </c>
      <c r="O206" t="n">
        <v>0</v>
      </c>
      <c r="P206" t="n">
        <v>0</v>
      </c>
      <c r="Q206" t="n">
        <v>0</v>
      </c>
      <c r="R206" t="inlineStr">
        <is>
          <t>pick</t>
        </is>
      </c>
      <c r="S206" t="inlineStr">
        <is>
          <t>Senegal</t>
        </is>
      </c>
      <c r="T206" t="inlineStr">
        <is>
          <t>polymarket</t>
        </is>
      </c>
      <c r="U206" t="n">
        <v>11.01</v>
      </c>
      <c r="V206">
        <f>(I206-O206)^2+(J206-P206)^2+(K206-Q206)^2</f>
        <v/>
      </c>
      <c r="W206">
        <f>IF(B206&lt;&gt;"KO","",IF(R206="pick",IF(VLOOKUP(A206,'Match Universe'!A:K,11,FALSE)=S206,"hit","miss"),IF(R206="pass","n/a","n/a")))</f>
        <v/>
      </c>
      <c r="X206" t="inlineStr">
        <is>
          <t>BACKTEST wc 2022</t>
        </is>
      </c>
    </row>
    <row r="207">
      <c r="A207" t="inlineStr">
        <is>
          <t>wc22-r16-eng-sen-20221204</t>
        </is>
      </c>
      <c r="B207" t="inlineStr">
        <is>
          <t>T-5</t>
        </is>
      </c>
      <c r="C207" t="n">
        <v>2020</v>
      </c>
      <c r="D207" t="n">
        <v>1858</v>
      </c>
      <c r="E207" t="n">
        <v>0</v>
      </c>
      <c r="F207" t="n">
        <v>12</v>
      </c>
      <c r="G207" t="n">
        <v>1</v>
      </c>
      <c r="H207" t="n">
        <v>1</v>
      </c>
      <c r="I207" t="n">
        <v>0.572064</v>
      </c>
      <c r="J207" t="n">
        <v>0.2028</v>
      </c>
      <c r="K207" t="n">
        <v>0.225136</v>
      </c>
      <c r="L207" t="n">
        <v>0.672658</v>
      </c>
      <c r="M207" t="n">
        <v>0.212261</v>
      </c>
      <c r="N207" t="n">
        <v>0.115081</v>
      </c>
      <c r="O207" t="n">
        <v>0</v>
      </c>
      <c r="P207" t="n">
        <v>0</v>
      </c>
      <c r="Q207" t="n">
        <v>0</v>
      </c>
      <c r="R207" t="inlineStr">
        <is>
          <t>pick</t>
        </is>
      </c>
      <c r="S207" t="inlineStr">
        <is>
          <t>Senegal</t>
        </is>
      </c>
      <c r="T207" t="inlineStr">
        <is>
          <t>polymarket</t>
        </is>
      </c>
      <c r="U207" t="n">
        <v>11.01</v>
      </c>
      <c r="V207">
        <f>(I207-O207)^2+(J207-P207)^2+(K207-Q207)^2</f>
        <v/>
      </c>
      <c r="W207">
        <f>IF(B207&lt;&gt;"KO","",IF(R207="pick",IF(VLOOKUP(A207,'Match Universe'!A:K,11,FALSE)=S207,"hit","miss"),IF(R207="pass","n/a","n/a")))</f>
        <v/>
      </c>
      <c r="X207" t="inlineStr">
        <is>
          <t>BACKTEST wc 2022</t>
        </is>
      </c>
    </row>
    <row r="208">
      <c r="A208" t="inlineStr">
        <is>
          <t>wc22-r16-eng-sen-20221204</t>
        </is>
      </c>
      <c r="B208" t="inlineStr">
        <is>
          <t>T-1h</t>
        </is>
      </c>
      <c r="C208" t="n">
        <v>2020</v>
      </c>
      <c r="D208" t="n">
        <v>1858</v>
      </c>
      <c r="E208" t="n">
        <v>0</v>
      </c>
      <c r="F208" t="n">
        <v>12</v>
      </c>
      <c r="G208" t="n">
        <v>1</v>
      </c>
      <c r="H208" t="n">
        <v>1</v>
      </c>
      <c r="I208" t="n">
        <v>0.572064</v>
      </c>
      <c r="J208" t="n">
        <v>0.2028</v>
      </c>
      <c r="K208" t="n">
        <v>0.225136</v>
      </c>
      <c r="L208" t="n">
        <v>0.672658</v>
      </c>
      <c r="M208" t="n">
        <v>0.212261</v>
      </c>
      <c r="N208" t="n">
        <v>0.115081</v>
      </c>
      <c r="O208" t="n">
        <v>0</v>
      </c>
      <c r="P208" t="n">
        <v>0</v>
      </c>
      <c r="Q208" t="n">
        <v>0</v>
      </c>
      <c r="R208" t="inlineStr">
        <is>
          <t>pick</t>
        </is>
      </c>
      <c r="S208" t="inlineStr">
        <is>
          <t>Senegal</t>
        </is>
      </c>
      <c r="T208" t="inlineStr">
        <is>
          <t>polymarket</t>
        </is>
      </c>
      <c r="U208" t="n">
        <v>11.01</v>
      </c>
      <c r="V208">
        <f>(I208-O208)^2+(J208-P208)^2+(K208-Q208)^2</f>
        <v/>
      </c>
      <c r="W208">
        <f>IF(B208&lt;&gt;"KO","",IF(R208="pick",IF(VLOOKUP(A208,'Match Universe'!A:K,11,FALSE)=S208,"hit","miss"),IF(R208="pass","n/a","n/a")))</f>
        <v/>
      </c>
      <c r="X208" t="inlineStr">
        <is>
          <t>BACKTEST wc 2022</t>
        </is>
      </c>
    </row>
    <row r="209">
      <c r="A209" t="inlineStr">
        <is>
          <t>wc22-r16-eng-sen-20221204</t>
        </is>
      </c>
      <c r="B209" t="inlineStr">
        <is>
          <t>KO</t>
        </is>
      </c>
      <c r="C209" t="n">
        <v>2020</v>
      </c>
      <c r="D209" t="n">
        <v>1858</v>
      </c>
      <c r="E209" t="n">
        <v>0</v>
      </c>
      <c r="F209" t="n">
        <v>12</v>
      </c>
      <c r="G209" t="n">
        <v>1</v>
      </c>
      <c r="H209" t="n">
        <v>1</v>
      </c>
      <c r="I209" t="n">
        <v>0.572064</v>
      </c>
      <c r="J209" t="n">
        <v>0.2028</v>
      </c>
      <c r="K209" t="n">
        <v>0.225136</v>
      </c>
      <c r="L209" t="n">
        <v>0.672658</v>
      </c>
      <c r="M209" t="n">
        <v>0.212261</v>
      </c>
      <c r="N209" t="n">
        <v>0.115081</v>
      </c>
      <c r="O209" t="n">
        <v>1</v>
      </c>
      <c r="P209" t="n">
        <v>0</v>
      </c>
      <c r="Q209" t="n">
        <v>0</v>
      </c>
      <c r="R209" t="inlineStr">
        <is>
          <t>pick</t>
        </is>
      </c>
      <c r="S209" t="inlineStr">
        <is>
          <t>Senegal</t>
        </is>
      </c>
      <c r="T209" t="inlineStr">
        <is>
          <t>polymarket</t>
        </is>
      </c>
      <c r="U209" t="n">
        <v>11.01</v>
      </c>
      <c r="V209">
        <f>(I209-O209)^2+(J209-P209)^2+(K209-Q209)^2</f>
        <v/>
      </c>
      <c r="W209">
        <f>IF(B209&lt;&gt;"KO","",IF(R209="pick",IF(VLOOKUP(A209,'Match Universe'!A:K,11,FALSE)=S209,"hit","miss"),IF(R209="pass","n/a","n/a")))</f>
        <v/>
      </c>
      <c r="X209" t="inlineStr">
        <is>
          <t>BACKTEST wc 2022</t>
        </is>
      </c>
    </row>
    <row r="210">
      <c r="A210" t="inlineStr">
        <is>
          <t>wc22-r16-jpn-cro-20221205</t>
        </is>
      </c>
      <c r="B210" t="inlineStr">
        <is>
          <t>T-38</t>
        </is>
      </c>
      <c r="C210" t="n">
        <v>1812</v>
      </c>
      <c r="D210" t="n">
        <v>1920</v>
      </c>
      <c r="E210" t="n">
        <v>0</v>
      </c>
      <c r="F210" t="n">
        <v>8</v>
      </c>
      <c r="G210" t="n">
        <v>1</v>
      </c>
      <c r="H210" t="n">
        <v>1</v>
      </c>
      <c r="I210" t="n">
        <v>0.267218</v>
      </c>
      <c r="J210" t="n">
        <v>0.2352</v>
      </c>
      <c r="K210" t="n">
        <v>0.497582</v>
      </c>
      <c r="L210" t="n">
        <v>0.304214</v>
      </c>
      <c r="M210" t="n">
        <v>0.314027</v>
      </c>
      <c r="N210" t="n">
        <v>0.381759</v>
      </c>
      <c r="O210" t="n">
        <v>0</v>
      </c>
      <c r="P210" t="n">
        <v>0</v>
      </c>
      <c r="Q210" t="n">
        <v>0</v>
      </c>
      <c r="R210" t="inlineStr">
        <is>
          <t>pass</t>
        </is>
      </c>
      <c r="S210" t="inlineStr"/>
      <c r="T210" t="inlineStr"/>
      <c r="V210">
        <f>(I210-O210)^2+(J210-P210)^2+(K210-Q210)^2</f>
        <v/>
      </c>
      <c r="W210">
        <f>IF(B210&lt;&gt;"KO","",IF(R210="pick",IF(VLOOKUP(A210,'Match Universe'!A:K,11,FALSE)=S210,"hit","miss"),IF(R210="pass","n/a","n/a")))</f>
        <v/>
      </c>
      <c r="X210" t="inlineStr">
        <is>
          <t>BACKTEST wc 2022</t>
        </is>
      </c>
    </row>
    <row r="211">
      <c r="A211" t="inlineStr">
        <is>
          <t>wc22-r16-jpn-cro-20221205</t>
        </is>
      </c>
      <c r="B211" t="inlineStr">
        <is>
          <t>T-5</t>
        </is>
      </c>
      <c r="C211" t="n">
        <v>1812</v>
      </c>
      <c r="D211" t="n">
        <v>1920</v>
      </c>
      <c r="E211" t="n">
        <v>0</v>
      </c>
      <c r="F211" t="n">
        <v>8</v>
      </c>
      <c r="G211" t="n">
        <v>1</v>
      </c>
      <c r="H211" t="n">
        <v>1</v>
      </c>
      <c r="I211" t="n">
        <v>0.267218</v>
      </c>
      <c r="J211" t="n">
        <v>0.2352</v>
      </c>
      <c r="K211" t="n">
        <v>0.497582</v>
      </c>
      <c r="L211" t="n">
        <v>0.304214</v>
      </c>
      <c r="M211" t="n">
        <v>0.314027</v>
      </c>
      <c r="N211" t="n">
        <v>0.381759</v>
      </c>
      <c r="O211" t="n">
        <v>0</v>
      </c>
      <c r="P211" t="n">
        <v>0</v>
      </c>
      <c r="Q211" t="n">
        <v>0</v>
      </c>
      <c r="R211" t="inlineStr">
        <is>
          <t>pass</t>
        </is>
      </c>
      <c r="S211" t="inlineStr"/>
      <c r="T211" t="inlineStr"/>
      <c r="V211">
        <f>(I211-O211)^2+(J211-P211)^2+(K211-Q211)^2</f>
        <v/>
      </c>
      <c r="W211">
        <f>IF(B211&lt;&gt;"KO","",IF(R211="pick",IF(VLOOKUP(A211,'Match Universe'!A:K,11,FALSE)=S211,"hit","miss"),IF(R211="pass","n/a","n/a")))</f>
        <v/>
      </c>
      <c r="X211" t="inlineStr">
        <is>
          <t>BACKTEST wc 2022</t>
        </is>
      </c>
    </row>
    <row r="212">
      <c r="A212" t="inlineStr">
        <is>
          <t>wc22-r16-jpn-cro-20221205</t>
        </is>
      </c>
      <c r="B212" t="inlineStr">
        <is>
          <t>T-1h</t>
        </is>
      </c>
      <c r="C212" t="n">
        <v>1812</v>
      </c>
      <c r="D212" t="n">
        <v>1920</v>
      </c>
      <c r="E212" t="n">
        <v>0</v>
      </c>
      <c r="F212" t="n">
        <v>8</v>
      </c>
      <c r="G212" t="n">
        <v>1</v>
      </c>
      <c r="H212" t="n">
        <v>1</v>
      </c>
      <c r="I212" t="n">
        <v>0.267218</v>
      </c>
      <c r="J212" t="n">
        <v>0.2352</v>
      </c>
      <c r="K212" t="n">
        <v>0.497582</v>
      </c>
      <c r="L212" t="n">
        <v>0.304214</v>
      </c>
      <c r="M212" t="n">
        <v>0.314027</v>
      </c>
      <c r="N212" t="n">
        <v>0.381759</v>
      </c>
      <c r="O212" t="n">
        <v>0</v>
      </c>
      <c r="P212" t="n">
        <v>0</v>
      </c>
      <c r="Q212" t="n">
        <v>0</v>
      </c>
      <c r="R212" t="inlineStr">
        <is>
          <t>pass</t>
        </is>
      </c>
      <c r="S212" t="inlineStr"/>
      <c r="T212" t="inlineStr"/>
      <c r="V212">
        <f>(I212-O212)^2+(J212-P212)^2+(K212-Q212)^2</f>
        <v/>
      </c>
      <c r="W212">
        <f>IF(B212&lt;&gt;"KO","",IF(R212="pick",IF(VLOOKUP(A212,'Match Universe'!A:K,11,FALSE)=S212,"hit","miss"),IF(R212="pass","n/a","n/a")))</f>
        <v/>
      </c>
      <c r="X212" t="inlineStr">
        <is>
          <t>BACKTEST wc 2022</t>
        </is>
      </c>
    </row>
    <row r="213">
      <c r="A213" t="inlineStr">
        <is>
          <t>wc22-r16-jpn-cro-20221205</t>
        </is>
      </c>
      <c r="B213" t="inlineStr">
        <is>
          <t>KO</t>
        </is>
      </c>
      <c r="C213" t="n">
        <v>1812</v>
      </c>
      <c r="D213" t="n">
        <v>1920</v>
      </c>
      <c r="E213" t="n">
        <v>0</v>
      </c>
      <c r="F213" t="n">
        <v>8</v>
      </c>
      <c r="G213" t="n">
        <v>1</v>
      </c>
      <c r="H213" t="n">
        <v>1</v>
      </c>
      <c r="I213" t="n">
        <v>0.267218</v>
      </c>
      <c r="J213" t="n">
        <v>0.2352</v>
      </c>
      <c r="K213" t="n">
        <v>0.497582</v>
      </c>
      <c r="L213" t="n">
        <v>0.304214</v>
      </c>
      <c r="M213" t="n">
        <v>0.314027</v>
      </c>
      <c r="N213" t="n">
        <v>0.381759</v>
      </c>
      <c r="O213" t="n">
        <v>0</v>
      </c>
      <c r="P213" t="n">
        <v>1</v>
      </c>
      <c r="Q213" t="n">
        <v>0</v>
      </c>
      <c r="R213" t="inlineStr">
        <is>
          <t>pass</t>
        </is>
      </c>
      <c r="S213" t="inlineStr"/>
      <c r="T213" t="inlineStr"/>
      <c r="V213">
        <f>(I213-O213)^2+(J213-P213)^2+(K213-Q213)^2</f>
        <v/>
      </c>
      <c r="W213">
        <f>IF(B213&lt;&gt;"KO","",IF(R213="pick",IF(VLOOKUP(A213,'Match Universe'!A:K,11,FALSE)=S213,"hit","miss"),IF(R213="pass","n/a","n/a")))</f>
        <v/>
      </c>
      <c r="X213" t="inlineStr">
        <is>
          <t>BACKTEST wc 2022</t>
        </is>
      </c>
    </row>
    <row r="214">
      <c r="A214" t="inlineStr">
        <is>
          <t>wc22-r16-bra-kor-20221205</t>
        </is>
      </c>
      <c r="B214" t="inlineStr">
        <is>
          <t>T-38</t>
        </is>
      </c>
      <c r="C214" t="n">
        <v>2169</v>
      </c>
      <c r="D214" t="n">
        <v>1786</v>
      </c>
      <c r="E214" t="n">
        <v>0</v>
      </c>
      <c r="F214" t="n">
        <v>8</v>
      </c>
      <c r="G214" t="n">
        <v>1</v>
      </c>
      <c r="H214" t="n">
        <v>1</v>
      </c>
      <c r="I214" t="n">
        <v>0.810606</v>
      </c>
      <c r="J214" t="n">
        <v>0.1</v>
      </c>
      <c r="K214" t="n">
        <v>0.089394</v>
      </c>
      <c r="L214" t="n">
        <v>0.707982</v>
      </c>
      <c r="M214" t="n">
        <v>0.190665</v>
      </c>
      <c r="N214" t="n">
        <v>0.101353</v>
      </c>
      <c r="O214" t="n">
        <v>0</v>
      </c>
      <c r="P214" t="n">
        <v>0</v>
      </c>
      <c r="Q214" t="n">
        <v>0</v>
      </c>
      <c r="R214" t="inlineStr">
        <is>
          <t>pass</t>
        </is>
      </c>
      <c r="S214" t="inlineStr"/>
      <c r="T214" t="inlineStr"/>
      <c r="V214">
        <f>(I214-O214)^2+(J214-P214)^2+(K214-Q214)^2</f>
        <v/>
      </c>
      <c r="W214">
        <f>IF(B214&lt;&gt;"KO","",IF(R214="pick",IF(VLOOKUP(A214,'Match Universe'!A:K,11,FALSE)=S214,"hit","miss"),IF(R214="pass","n/a","n/a")))</f>
        <v/>
      </c>
      <c r="X214" t="inlineStr">
        <is>
          <t>BACKTEST wc 2022</t>
        </is>
      </c>
    </row>
    <row r="215">
      <c r="A215" t="inlineStr">
        <is>
          <t>wc22-r16-bra-kor-20221205</t>
        </is>
      </c>
      <c r="B215" t="inlineStr">
        <is>
          <t>T-5</t>
        </is>
      </c>
      <c r="C215" t="n">
        <v>2169</v>
      </c>
      <c r="D215" t="n">
        <v>1786</v>
      </c>
      <c r="E215" t="n">
        <v>0</v>
      </c>
      <c r="F215" t="n">
        <v>8</v>
      </c>
      <c r="G215" t="n">
        <v>1</v>
      </c>
      <c r="H215" t="n">
        <v>1</v>
      </c>
      <c r="I215" t="n">
        <v>0.810606</v>
      </c>
      <c r="J215" t="n">
        <v>0.1</v>
      </c>
      <c r="K215" t="n">
        <v>0.089394</v>
      </c>
      <c r="L215" t="n">
        <v>0.707982</v>
      </c>
      <c r="M215" t="n">
        <v>0.190665</v>
      </c>
      <c r="N215" t="n">
        <v>0.101353</v>
      </c>
      <c r="O215" t="n">
        <v>0</v>
      </c>
      <c r="P215" t="n">
        <v>0</v>
      </c>
      <c r="Q215" t="n">
        <v>0</v>
      </c>
      <c r="R215" t="inlineStr">
        <is>
          <t>pass</t>
        </is>
      </c>
      <c r="S215" t="inlineStr"/>
      <c r="T215" t="inlineStr"/>
      <c r="V215">
        <f>(I215-O215)^2+(J215-P215)^2+(K215-Q215)^2</f>
        <v/>
      </c>
      <c r="W215">
        <f>IF(B215&lt;&gt;"KO","",IF(R215="pick",IF(VLOOKUP(A215,'Match Universe'!A:K,11,FALSE)=S215,"hit","miss"),IF(R215="pass","n/a","n/a")))</f>
        <v/>
      </c>
      <c r="X215" t="inlineStr">
        <is>
          <t>BACKTEST wc 2022</t>
        </is>
      </c>
    </row>
    <row r="216">
      <c r="A216" t="inlineStr">
        <is>
          <t>wc22-r16-bra-kor-20221205</t>
        </is>
      </c>
      <c r="B216" t="inlineStr">
        <is>
          <t>T-1h</t>
        </is>
      </c>
      <c r="C216" t="n">
        <v>2169</v>
      </c>
      <c r="D216" t="n">
        <v>1786</v>
      </c>
      <c r="E216" t="n">
        <v>0</v>
      </c>
      <c r="F216" t="n">
        <v>8</v>
      </c>
      <c r="G216" t="n">
        <v>1</v>
      </c>
      <c r="H216" t="n">
        <v>1</v>
      </c>
      <c r="I216" t="n">
        <v>0.810606</v>
      </c>
      <c r="J216" t="n">
        <v>0.1</v>
      </c>
      <c r="K216" t="n">
        <v>0.089394</v>
      </c>
      <c r="L216" t="n">
        <v>0.707982</v>
      </c>
      <c r="M216" t="n">
        <v>0.190665</v>
      </c>
      <c r="N216" t="n">
        <v>0.101353</v>
      </c>
      <c r="O216" t="n">
        <v>0</v>
      </c>
      <c r="P216" t="n">
        <v>0</v>
      </c>
      <c r="Q216" t="n">
        <v>0</v>
      </c>
      <c r="R216" t="inlineStr">
        <is>
          <t>pass</t>
        </is>
      </c>
      <c r="S216" t="inlineStr"/>
      <c r="T216" t="inlineStr"/>
      <c r="V216">
        <f>(I216-O216)^2+(J216-P216)^2+(K216-Q216)^2</f>
        <v/>
      </c>
      <c r="W216">
        <f>IF(B216&lt;&gt;"KO","",IF(R216="pick",IF(VLOOKUP(A216,'Match Universe'!A:K,11,FALSE)=S216,"hit","miss"),IF(R216="pass","n/a","n/a")))</f>
        <v/>
      </c>
      <c r="X216" t="inlineStr">
        <is>
          <t>BACKTEST wc 2022</t>
        </is>
      </c>
    </row>
    <row r="217">
      <c r="A217" t="inlineStr">
        <is>
          <t>wc22-r16-bra-kor-20221205</t>
        </is>
      </c>
      <c r="B217" t="inlineStr">
        <is>
          <t>KO</t>
        </is>
      </c>
      <c r="C217" t="n">
        <v>2169</v>
      </c>
      <c r="D217" t="n">
        <v>1786</v>
      </c>
      <c r="E217" t="n">
        <v>0</v>
      </c>
      <c r="F217" t="n">
        <v>8</v>
      </c>
      <c r="G217" t="n">
        <v>1</v>
      </c>
      <c r="H217" t="n">
        <v>1</v>
      </c>
      <c r="I217" t="n">
        <v>0.810606</v>
      </c>
      <c r="J217" t="n">
        <v>0.1</v>
      </c>
      <c r="K217" t="n">
        <v>0.089394</v>
      </c>
      <c r="L217" t="n">
        <v>0.707982</v>
      </c>
      <c r="M217" t="n">
        <v>0.190665</v>
      </c>
      <c r="N217" t="n">
        <v>0.101353</v>
      </c>
      <c r="O217" t="n">
        <v>1</v>
      </c>
      <c r="P217" t="n">
        <v>0</v>
      </c>
      <c r="Q217" t="n">
        <v>0</v>
      </c>
      <c r="R217" t="inlineStr">
        <is>
          <t>pass</t>
        </is>
      </c>
      <c r="S217" t="inlineStr"/>
      <c r="T217" t="inlineStr"/>
      <c r="V217">
        <f>(I217-O217)^2+(J217-P217)^2+(K217-Q217)^2</f>
        <v/>
      </c>
      <c r="W217">
        <f>IF(B217&lt;&gt;"KO","",IF(R217="pick",IF(VLOOKUP(A217,'Match Universe'!A:K,11,FALSE)=S217,"hit","miss"),IF(R217="pass","n/a","n/a")))</f>
        <v/>
      </c>
      <c r="X217" t="inlineStr">
        <is>
          <t>BACKTEST wc 2022</t>
        </is>
      </c>
    </row>
    <row r="218">
      <c r="A218" t="inlineStr">
        <is>
          <t>wc22-r16-mar-esp-20221206</t>
        </is>
      </c>
      <c r="B218" t="inlineStr">
        <is>
          <t>T-38</t>
        </is>
      </c>
      <c r="C218" t="n">
        <v>1779</v>
      </c>
      <c r="D218" t="n">
        <v>2048</v>
      </c>
      <c r="E218" t="n">
        <v>0</v>
      </c>
      <c r="F218" t="n">
        <v>18</v>
      </c>
      <c r="G218" t="n">
        <v>1</v>
      </c>
      <c r="H218" t="n">
        <v>1</v>
      </c>
      <c r="I218" t="n">
        <v>0.151007</v>
      </c>
      <c r="J218" t="n">
        <v>0.1386</v>
      </c>
      <c r="K218" t="n">
        <v>0.7103930000000001</v>
      </c>
      <c r="L218" t="n">
        <v>0.173715</v>
      </c>
      <c r="M218" t="n">
        <v>0.289525</v>
      </c>
      <c r="N218" t="n">
        <v>0.53676</v>
      </c>
      <c r="O218" t="n">
        <v>0</v>
      </c>
      <c r="P218" t="n">
        <v>0</v>
      </c>
      <c r="Q218" t="n">
        <v>0</v>
      </c>
      <c r="R218" t="inlineStr">
        <is>
          <t>pick</t>
        </is>
      </c>
      <c r="S218" t="inlineStr">
        <is>
          <t>Spain</t>
        </is>
      </c>
      <c r="T218" t="inlineStr">
        <is>
          <t>polymarket</t>
        </is>
      </c>
      <c r="U218" t="n">
        <v>17.36</v>
      </c>
      <c r="V218">
        <f>(I218-O218)^2+(J218-P218)^2+(K218-Q218)^2</f>
        <v/>
      </c>
      <c r="W218">
        <f>IF(B218&lt;&gt;"KO","",IF(R218="pick",IF(VLOOKUP(A218,'Match Universe'!A:K,11,FALSE)=S218,"hit","miss"),IF(R218="pass","n/a","n/a")))</f>
        <v/>
      </c>
      <c r="X218" t="inlineStr">
        <is>
          <t>BACKTEST wc 2022</t>
        </is>
      </c>
    </row>
    <row r="219">
      <c r="A219" t="inlineStr">
        <is>
          <t>wc22-r16-mar-esp-20221206</t>
        </is>
      </c>
      <c r="B219" t="inlineStr">
        <is>
          <t>T-5</t>
        </is>
      </c>
      <c r="C219" t="n">
        <v>1779</v>
      </c>
      <c r="D219" t="n">
        <v>2048</v>
      </c>
      <c r="E219" t="n">
        <v>0</v>
      </c>
      <c r="F219" t="n">
        <v>18</v>
      </c>
      <c r="G219" t="n">
        <v>1</v>
      </c>
      <c r="H219" t="n">
        <v>1</v>
      </c>
      <c r="I219" t="n">
        <v>0.151007</v>
      </c>
      <c r="J219" t="n">
        <v>0.1386</v>
      </c>
      <c r="K219" t="n">
        <v>0.7103930000000001</v>
      </c>
      <c r="L219" t="n">
        <v>0.173715</v>
      </c>
      <c r="M219" t="n">
        <v>0.289525</v>
      </c>
      <c r="N219" t="n">
        <v>0.53676</v>
      </c>
      <c r="O219" t="n">
        <v>0</v>
      </c>
      <c r="P219" t="n">
        <v>0</v>
      </c>
      <c r="Q219" t="n">
        <v>0</v>
      </c>
      <c r="R219" t="inlineStr">
        <is>
          <t>pick</t>
        </is>
      </c>
      <c r="S219" t="inlineStr">
        <is>
          <t>Spain</t>
        </is>
      </c>
      <c r="T219" t="inlineStr">
        <is>
          <t>polymarket</t>
        </is>
      </c>
      <c r="U219" t="n">
        <v>17.36</v>
      </c>
      <c r="V219">
        <f>(I219-O219)^2+(J219-P219)^2+(K219-Q219)^2</f>
        <v/>
      </c>
      <c r="W219">
        <f>IF(B219&lt;&gt;"KO","",IF(R219="pick",IF(VLOOKUP(A219,'Match Universe'!A:K,11,FALSE)=S219,"hit","miss"),IF(R219="pass","n/a","n/a")))</f>
        <v/>
      </c>
      <c r="X219" t="inlineStr">
        <is>
          <t>BACKTEST wc 2022</t>
        </is>
      </c>
    </row>
    <row r="220">
      <c r="A220" t="inlineStr">
        <is>
          <t>wc22-r16-mar-esp-20221206</t>
        </is>
      </c>
      <c r="B220" t="inlineStr">
        <is>
          <t>T-1h</t>
        </is>
      </c>
      <c r="C220" t="n">
        <v>1779</v>
      </c>
      <c r="D220" t="n">
        <v>2048</v>
      </c>
      <c r="E220" t="n">
        <v>0</v>
      </c>
      <c r="F220" t="n">
        <v>18</v>
      </c>
      <c r="G220" t="n">
        <v>1</v>
      </c>
      <c r="H220" t="n">
        <v>1</v>
      </c>
      <c r="I220" t="n">
        <v>0.151007</v>
      </c>
      <c r="J220" t="n">
        <v>0.1386</v>
      </c>
      <c r="K220" t="n">
        <v>0.7103930000000001</v>
      </c>
      <c r="L220" t="n">
        <v>0.173715</v>
      </c>
      <c r="M220" t="n">
        <v>0.289525</v>
      </c>
      <c r="N220" t="n">
        <v>0.53676</v>
      </c>
      <c r="O220" t="n">
        <v>0</v>
      </c>
      <c r="P220" t="n">
        <v>0</v>
      </c>
      <c r="Q220" t="n">
        <v>0</v>
      </c>
      <c r="R220" t="inlineStr">
        <is>
          <t>pick</t>
        </is>
      </c>
      <c r="S220" t="inlineStr">
        <is>
          <t>Spain</t>
        </is>
      </c>
      <c r="T220" t="inlineStr">
        <is>
          <t>polymarket</t>
        </is>
      </c>
      <c r="U220" t="n">
        <v>17.36</v>
      </c>
      <c r="V220">
        <f>(I220-O220)^2+(J220-P220)^2+(K220-Q220)^2</f>
        <v/>
      </c>
      <c r="W220">
        <f>IF(B220&lt;&gt;"KO","",IF(R220="pick",IF(VLOOKUP(A220,'Match Universe'!A:K,11,FALSE)=S220,"hit","miss"),IF(R220="pass","n/a","n/a")))</f>
        <v/>
      </c>
      <c r="X220" t="inlineStr">
        <is>
          <t>BACKTEST wc 2022</t>
        </is>
      </c>
    </row>
    <row r="221">
      <c r="A221" t="inlineStr">
        <is>
          <t>wc22-r16-mar-esp-20221206</t>
        </is>
      </c>
      <c r="B221" t="inlineStr">
        <is>
          <t>KO</t>
        </is>
      </c>
      <c r="C221" t="n">
        <v>1779</v>
      </c>
      <c r="D221" t="n">
        <v>2048</v>
      </c>
      <c r="E221" t="n">
        <v>0</v>
      </c>
      <c r="F221" t="n">
        <v>18</v>
      </c>
      <c r="G221" t="n">
        <v>1</v>
      </c>
      <c r="H221" t="n">
        <v>1</v>
      </c>
      <c r="I221" t="n">
        <v>0.151007</v>
      </c>
      <c r="J221" t="n">
        <v>0.1386</v>
      </c>
      <c r="K221" t="n">
        <v>0.7103930000000001</v>
      </c>
      <c r="L221" t="n">
        <v>0.173715</v>
      </c>
      <c r="M221" t="n">
        <v>0.289525</v>
      </c>
      <c r="N221" t="n">
        <v>0.53676</v>
      </c>
      <c r="O221" t="n">
        <v>0</v>
      </c>
      <c r="P221" t="n">
        <v>1</v>
      </c>
      <c r="Q221" t="n">
        <v>0</v>
      </c>
      <c r="R221" t="inlineStr">
        <is>
          <t>pick</t>
        </is>
      </c>
      <c r="S221" t="inlineStr">
        <is>
          <t>Spain</t>
        </is>
      </c>
      <c r="T221" t="inlineStr">
        <is>
          <t>polymarket</t>
        </is>
      </c>
      <c r="U221" t="n">
        <v>17.36</v>
      </c>
      <c r="V221">
        <f>(I221-O221)^2+(J221-P221)^2+(K221-Q221)^2</f>
        <v/>
      </c>
      <c r="W221">
        <f>IF(B221&lt;&gt;"KO","",IF(R221="pick",IF(VLOOKUP(A221,'Match Universe'!A:K,11,FALSE)=S221,"hit","miss"),IF(R221="pass","n/a","n/a")))</f>
        <v/>
      </c>
      <c r="X221" t="inlineStr">
        <is>
          <t>BACKTEST wc 2022</t>
        </is>
      </c>
    </row>
    <row r="222">
      <c r="A222" t="inlineStr">
        <is>
          <t>wc22-r16-por-sui-20221206</t>
        </is>
      </c>
      <c r="B222" t="inlineStr">
        <is>
          <t>T-38</t>
        </is>
      </c>
      <c r="C222" t="n">
        <v>2040</v>
      </c>
      <c r="D222" t="n">
        <v>1881</v>
      </c>
      <c r="E222" t="n">
        <v>0</v>
      </c>
      <c r="F222" t="n">
        <v>8</v>
      </c>
      <c r="G222" t="n">
        <v>1</v>
      </c>
      <c r="H222" t="n">
        <v>1</v>
      </c>
      <c r="I222" t="n">
        <v>0.567978</v>
      </c>
      <c r="J222" t="n">
        <v>0.2046</v>
      </c>
      <c r="K222" t="n">
        <v>0.227422</v>
      </c>
      <c r="L222" t="n">
        <v>0.5150439999999999</v>
      </c>
      <c r="M222" t="n">
        <v>0.268403</v>
      </c>
      <c r="N222" t="n">
        <v>0.216553</v>
      </c>
      <c r="O222" t="n">
        <v>0</v>
      </c>
      <c r="P222" t="n">
        <v>0</v>
      </c>
      <c r="Q222" t="n">
        <v>0</v>
      </c>
      <c r="R222" t="inlineStr">
        <is>
          <t>pass</t>
        </is>
      </c>
      <c r="S222" t="inlineStr"/>
      <c r="T222" t="inlineStr"/>
      <c r="V222">
        <f>(I222-O222)^2+(J222-P222)^2+(K222-Q222)^2</f>
        <v/>
      </c>
      <c r="W222">
        <f>IF(B222&lt;&gt;"KO","",IF(R222="pick",IF(VLOOKUP(A222,'Match Universe'!A:K,11,FALSE)=S222,"hit","miss"),IF(R222="pass","n/a","n/a")))</f>
        <v/>
      </c>
      <c r="X222" t="inlineStr">
        <is>
          <t>BACKTEST wc 2022</t>
        </is>
      </c>
    </row>
    <row r="223">
      <c r="A223" t="inlineStr">
        <is>
          <t>wc22-r16-por-sui-20221206</t>
        </is>
      </c>
      <c r="B223" t="inlineStr">
        <is>
          <t>T-5</t>
        </is>
      </c>
      <c r="C223" t="n">
        <v>2040</v>
      </c>
      <c r="D223" t="n">
        <v>1881</v>
      </c>
      <c r="E223" t="n">
        <v>0</v>
      </c>
      <c r="F223" t="n">
        <v>8</v>
      </c>
      <c r="G223" t="n">
        <v>1</v>
      </c>
      <c r="H223" t="n">
        <v>1</v>
      </c>
      <c r="I223" t="n">
        <v>0.567978</v>
      </c>
      <c r="J223" t="n">
        <v>0.2046</v>
      </c>
      <c r="K223" t="n">
        <v>0.227422</v>
      </c>
      <c r="L223" t="n">
        <v>0.5150439999999999</v>
      </c>
      <c r="M223" t="n">
        <v>0.268403</v>
      </c>
      <c r="N223" t="n">
        <v>0.216553</v>
      </c>
      <c r="O223" t="n">
        <v>0</v>
      </c>
      <c r="P223" t="n">
        <v>0</v>
      </c>
      <c r="Q223" t="n">
        <v>0</v>
      </c>
      <c r="R223" t="inlineStr">
        <is>
          <t>pass</t>
        </is>
      </c>
      <c r="S223" t="inlineStr"/>
      <c r="T223" t="inlineStr"/>
      <c r="V223">
        <f>(I223-O223)^2+(J223-P223)^2+(K223-Q223)^2</f>
        <v/>
      </c>
      <c r="W223">
        <f>IF(B223&lt;&gt;"KO","",IF(R223="pick",IF(VLOOKUP(A223,'Match Universe'!A:K,11,FALSE)=S223,"hit","miss"),IF(R223="pass","n/a","n/a")))</f>
        <v/>
      </c>
      <c r="X223" t="inlineStr">
        <is>
          <t>BACKTEST wc 2022</t>
        </is>
      </c>
    </row>
    <row r="224">
      <c r="A224" t="inlineStr">
        <is>
          <t>wc22-r16-por-sui-20221206</t>
        </is>
      </c>
      <c r="B224" t="inlineStr">
        <is>
          <t>T-1h</t>
        </is>
      </c>
      <c r="C224" t="n">
        <v>2040</v>
      </c>
      <c r="D224" t="n">
        <v>1881</v>
      </c>
      <c r="E224" t="n">
        <v>0</v>
      </c>
      <c r="F224" t="n">
        <v>8</v>
      </c>
      <c r="G224" t="n">
        <v>1</v>
      </c>
      <c r="H224" t="n">
        <v>1</v>
      </c>
      <c r="I224" t="n">
        <v>0.567978</v>
      </c>
      <c r="J224" t="n">
        <v>0.2046</v>
      </c>
      <c r="K224" t="n">
        <v>0.227422</v>
      </c>
      <c r="L224" t="n">
        <v>0.5150439999999999</v>
      </c>
      <c r="M224" t="n">
        <v>0.268403</v>
      </c>
      <c r="N224" t="n">
        <v>0.216553</v>
      </c>
      <c r="O224" t="n">
        <v>0</v>
      </c>
      <c r="P224" t="n">
        <v>0</v>
      </c>
      <c r="Q224" t="n">
        <v>0</v>
      </c>
      <c r="R224" t="inlineStr">
        <is>
          <t>pass</t>
        </is>
      </c>
      <c r="S224" t="inlineStr"/>
      <c r="T224" t="inlineStr"/>
      <c r="V224">
        <f>(I224-O224)^2+(J224-P224)^2+(K224-Q224)^2</f>
        <v/>
      </c>
      <c r="W224">
        <f>IF(B224&lt;&gt;"KO","",IF(R224="pick",IF(VLOOKUP(A224,'Match Universe'!A:K,11,FALSE)=S224,"hit","miss"),IF(R224="pass","n/a","n/a")))</f>
        <v/>
      </c>
      <c r="X224" t="inlineStr">
        <is>
          <t>BACKTEST wc 2022</t>
        </is>
      </c>
    </row>
    <row r="225">
      <c r="A225" t="inlineStr">
        <is>
          <t>wc22-r16-por-sui-20221206</t>
        </is>
      </c>
      <c r="B225" t="inlineStr">
        <is>
          <t>KO</t>
        </is>
      </c>
      <c r="C225" t="n">
        <v>2040</v>
      </c>
      <c r="D225" t="n">
        <v>1881</v>
      </c>
      <c r="E225" t="n">
        <v>0</v>
      </c>
      <c r="F225" t="n">
        <v>8</v>
      </c>
      <c r="G225" t="n">
        <v>1</v>
      </c>
      <c r="H225" t="n">
        <v>1</v>
      </c>
      <c r="I225" t="n">
        <v>0.567978</v>
      </c>
      <c r="J225" t="n">
        <v>0.2046</v>
      </c>
      <c r="K225" t="n">
        <v>0.227422</v>
      </c>
      <c r="L225" t="n">
        <v>0.5150439999999999</v>
      </c>
      <c r="M225" t="n">
        <v>0.268403</v>
      </c>
      <c r="N225" t="n">
        <v>0.216553</v>
      </c>
      <c r="O225" t="n">
        <v>1</v>
      </c>
      <c r="P225" t="n">
        <v>0</v>
      </c>
      <c r="Q225" t="n">
        <v>0</v>
      </c>
      <c r="R225" t="inlineStr">
        <is>
          <t>pass</t>
        </is>
      </c>
      <c r="S225" t="inlineStr"/>
      <c r="T225" t="inlineStr"/>
      <c r="V225">
        <f>(I225-O225)^2+(J225-P225)^2+(K225-Q225)^2</f>
        <v/>
      </c>
      <c r="W225">
        <f>IF(B225&lt;&gt;"KO","",IF(R225="pick",IF(VLOOKUP(A225,'Match Universe'!A:K,11,FALSE)=S225,"hit","miss"),IF(R225="pass","n/a","n/a")))</f>
        <v/>
      </c>
      <c r="X225" t="inlineStr">
        <is>
          <t>BACKTEST wc 2022</t>
        </is>
      </c>
    </row>
    <row r="226">
      <c r="A226" t="inlineStr">
        <is>
          <t>wc22-qf-cro-bra-20221209</t>
        </is>
      </c>
      <c r="B226" t="inlineStr">
        <is>
          <t>T-38</t>
        </is>
      </c>
      <c r="C226" t="n">
        <v>1920</v>
      </c>
      <c r="D226" t="n">
        <v>2169</v>
      </c>
      <c r="E226" t="n">
        <v>0</v>
      </c>
      <c r="F226" t="n">
        <v>18</v>
      </c>
      <c r="G226" t="n">
        <v>1</v>
      </c>
      <c r="H226" t="n">
        <v>1</v>
      </c>
      <c r="I226" t="n">
        <v>0.163574</v>
      </c>
      <c r="J226" t="n">
        <v>0.1506</v>
      </c>
      <c r="K226" t="n">
        <v>0.685826</v>
      </c>
      <c r="L226" t="n">
        <v>0.163694</v>
      </c>
      <c r="M226" t="n">
        <v>0.246603</v>
      </c>
      <c r="N226" t="n">
        <v>0.589703</v>
      </c>
      <c r="O226" t="n">
        <v>0</v>
      </c>
      <c r="P226" t="n">
        <v>0</v>
      </c>
      <c r="Q226" t="n">
        <v>0</v>
      </c>
      <c r="R226" t="inlineStr">
        <is>
          <t>pass</t>
        </is>
      </c>
      <c r="S226" t="inlineStr"/>
      <c r="T226" t="inlineStr"/>
      <c r="V226">
        <f>(I226-O226)^2+(J226-P226)^2+(K226-Q226)^2</f>
        <v/>
      </c>
      <c r="W226">
        <f>IF(B226&lt;&gt;"KO","",IF(R226="pick",IF(VLOOKUP(A226,'Match Universe'!A:K,11,FALSE)=S226,"hit","miss"),IF(R226="pass","n/a","n/a")))</f>
        <v/>
      </c>
      <c r="X226" t="inlineStr">
        <is>
          <t>BACKTEST wc 2022</t>
        </is>
      </c>
    </row>
    <row r="227">
      <c r="A227" t="inlineStr">
        <is>
          <t>wc22-qf-cro-bra-20221209</t>
        </is>
      </c>
      <c r="B227" t="inlineStr">
        <is>
          <t>T-5</t>
        </is>
      </c>
      <c r="C227" t="n">
        <v>1920</v>
      </c>
      <c r="D227" t="n">
        <v>2169</v>
      </c>
      <c r="E227" t="n">
        <v>0</v>
      </c>
      <c r="F227" t="n">
        <v>18</v>
      </c>
      <c r="G227" t="n">
        <v>1</v>
      </c>
      <c r="H227" t="n">
        <v>1</v>
      </c>
      <c r="I227" t="n">
        <v>0.163574</v>
      </c>
      <c r="J227" t="n">
        <v>0.1506</v>
      </c>
      <c r="K227" t="n">
        <v>0.685826</v>
      </c>
      <c r="L227" t="n">
        <v>0.163694</v>
      </c>
      <c r="M227" t="n">
        <v>0.246603</v>
      </c>
      <c r="N227" t="n">
        <v>0.589703</v>
      </c>
      <c r="O227" t="n">
        <v>0</v>
      </c>
      <c r="P227" t="n">
        <v>0</v>
      </c>
      <c r="Q227" t="n">
        <v>0</v>
      </c>
      <c r="R227" t="inlineStr">
        <is>
          <t>pass</t>
        </is>
      </c>
      <c r="S227" t="inlineStr"/>
      <c r="T227" t="inlineStr"/>
      <c r="V227">
        <f>(I227-O227)^2+(J227-P227)^2+(K227-Q227)^2</f>
        <v/>
      </c>
      <c r="W227">
        <f>IF(B227&lt;&gt;"KO","",IF(R227="pick",IF(VLOOKUP(A227,'Match Universe'!A:K,11,FALSE)=S227,"hit","miss"),IF(R227="pass","n/a","n/a")))</f>
        <v/>
      </c>
      <c r="X227" t="inlineStr">
        <is>
          <t>BACKTEST wc 2022</t>
        </is>
      </c>
    </row>
    <row r="228">
      <c r="A228" t="inlineStr">
        <is>
          <t>wc22-qf-cro-bra-20221209</t>
        </is>
      </c>
      <c r="B228" t="inlineStr">
        <is>
          <t>T-1h</t>
        </is>
      </c>
      <c r="C228" t="n">
        <v>1920</v>
      </c>
      <c r="D228" t="n">
        <v>2169</v>
      </c>
      <c r="E228" t="n">
        <v>0</v>
      </c>
      <c r="F228" t="n">
        <v>18</v>
      </c>
      <c r="G228" t="n">
        <v>1</v>
      </c>
      <c r="H228" t="n">
        <v>1</v>
      </c>
      <c r="I228" t="n">
        <v>0.163574</v>
      </c>
      <c r="J228" t="n">
        <v>0.1506</v>
      </c>
      <c r="K228" t="n">
        <v>0.685826</v>
      </c>
      <c r="L228" t="n">
        <v>0.163694</v>
      </c>
      <c r="M228" t="n">
        <v>0.246603</v>
      </c>
      <c r="N228" t="n">
        <v>0.589703</v>
      </c>
      <c r="O228" t="n">
        <v>0</v>
      </c>
      <c r="P228" t="n">
        <v>0</v>
      </c>
      <c r="Q228" t="n">
        <v>0</v>
      </c>
      <c r="R228" t="inlineStr">
        <is>
          <t>pass</t>
        </is>
      </c>
      <c r="S228" t="inlineStr"/>
      <c r="T228" t="inlineStr"/>
      <c r="V228">
        <f>(I228-O228)^2+(J228-P228)^2+(K228-Q228)^2</f>
        <v/>
      </c>
      <c r="W228">
        <f>IF(B228&lt;&gt;"KO","",IF(R228="pick",IF(VLOOKUP(A228,'Match Universe'!A:K,11,FALSE)=S228,"hit","miss"),IF(R228="pass","n/a","n/a")))</f>
        <v/>
      </c>
      <c r="X228" t="inlineStr">
        <is>
          <t>BACKTEST wc 2022</t>
        </is>
      </c>
    </row>
    <row r="229">
      <c r="A229" t="inlineStr">
        <is>
          <t>wc22-qf-cro-bra-20221209</t>
        </is>
      </c>
      <c r="B229" t="inlineStr">
        <is>
          <t>KO</t>
        </is>
      </c>
      <c r="C229" t="n">
        <v>1920</v>
      </c>
      <c r="D229" t="n">
        <v>2169</v>
      </c>
      <c r="E229" t="n">
        <v>0</v>
      </c>
      <c r="F229" t="n">
        <v>18</v>
      </c>
      <c r="G229" t="n">
        <v>1</v>
      </c>
      <c r="H229" t="n">
        <v>1</v>
      </c>
      <c r="I229" t="n">
        <v>0.163574</v>
      </c>
      <c r="J229" t="n">
        <v>0.1506</v>
      </c>
      <c r="K229" t="n">
        <v>0.685826</v>
      </c>
      <c r="L229" t="n">
        <v>0.163694</v>
      </c>
      <c r="M229" t="n">
        <v>0.246603</v>
      </c>
      <c r="N229" t="n">
        <v>0.589703</v>
      </c>
      <c r="O229" t="n">
        <v>0</v>
      </c>
      <c r="P229" t="n">
        <v>1</v>
      </c>
      <c r="Q229" t="n">
        <v>0</v>
      </c>
      <c r="R229" t="inlineStr">
        <is>
          <t>pass</t>
        </is>
      </c>
      <c r="S229" t="inlineStr"/>
      <c r="T229" t="inlineStr"/>
      <c r="V229">
        <f>(I229-O229)^2+(J229-P229)^2+(K229-Q229)^2</f>
        <v/>
      </c>
      <c r="W229">
        <f>IF(B229&lt;&gt;"KO","",IF(R229="pick",IF(VLOOKUP(A229,'Match Universe'!A:K,11,FALSE)=S229,"hit","miss"),IF(R229="pass","n/a","n/a")))</f>
        <v/>
      </c>
      <c r="X229" t="inlineStr">
        <is>
          <t>BACKTEST wc 2022</t>
        </is>
      </c>
    </row>
    <row r="230">
      <c r="A230" t="inlineStr">
        <is>
          <t>wc22-qf-ned-arg-20221209</t>
        </is>
      </c>
      <c r="B230" t="inlineStr">
        <is>
          <t>T-38</t>
        </is>
      </c>
      <c r="C230" t="n">
        <v>2040</v>
      </c>
      <c r="D230" t="n">
        <v>2142</v>
      </c>
      <c r="E230" t="n">
        <v>0</v>
      </c>
      <c r="F230" t="n">
        <v>8</v>
      </c>
      <c r="G230" t="n">
        <v>1</v>
      </c>
      <c r="H230" t="n">
        <v>1</v>
      </c>
      <c r="I230" t="n">
        <v>0.271967</v>
      </c>
      <c r="J230" t="n">
        <v>0.2388</v>
      </c>
      <c r="K230" t="n">
        <v>0.489233</v>
      </c>
      <c r="L230" t="n">
        <v>0.271103</v>
      </c>
      <c r="M230" t="n">
        <v>0.310456</v>
      </c>
      <c r="N230" t="n">
        <v>0.418441</v>
      </c>
      <c r="O230" t="n">
        <v>0</v>
      </c>
      <c r="P230" t="n">
        <v>0</v>
      </c>
      <c r="Q230" t="n">
        <v>0</v>
      </c>
      <c r="R230" t="inlineStr">
        <is>
          <t>pass</t>
        </is>
      </c>
      <c r="S230" t="inlineStr"/>
      <c r="T230" t="inlineStr"/>
      <c r="V230">
        <f>(I230-O230)^2+(J230-P230)^2+(K230-Q230)^2</f>
        <v/>
      </c>
      <c r="W230">
        <f>IF(B230&lt;&gt;"KO","",IF(R230="pick",IF(VLOOKUP(A230,'Match Universe'!A:K,11,FALSE)=S230,"hit","miss"),IF(R230="pass","n/a","n/a")))</f>
        <v/>
      </c>
      <c r="X230" t="inlineStr">
        <is>
          <t>BACKTEST wc 2022</t>
        </is>
      </c>
    </row>
    <row r="231">
      <c r="A231" t="inlineStr">
        <is>
          <t>wc22-qf-ned-arg-20221209</t>
        </is>
      </c>
      <c r="B231" t="inlineStr">
        <is>
          <t>T-5</t>
        </is>
      </c>
      <c r="C231" t="n">
        <v>2040</v>
      </c>
      <c r="D231" t="n">
        <v>2142</v>
      </c>
      <c r="E231" t="n">
        <v>0</v>
      </c>
      <c r="F231" t="n">
        <v>8</v>
      </c>
      <c r="G231" t="n">
        <v>1</v>
      </c>
      <c r="H231" t="n">
        <v>1</v>
      </c>
      <c r="I231" t="n">
        <v>0.271967</v>
      </c>
      <c r="J231" t="n">
        <v>0.2388</v>
      </c>
      <c r="K231" t="n">
        <v>0.489233</v>
      </c>
      <c r="L231" t="n">
        <v>0.271103</v>
      </c>
      <c r="M231" t="n">
        <v>0.310456</v>
      </c>
      <c r="N231" t="n">
        <v>0.418441</v>
      </c>
      <c r="O231" t="n">
        <v>0</v>
      </c>
      <c r="P231" t="n">
        <v>0</v>
      </c>
      <c r="Q231" t="n">
        <v>0</v>
      </c>
      <c r="R231" t="inlineStr">
        <is>
          <t>pass</t>
        </is>
      </c>
      <c r="S231" t="inlineStr"/>
      <c r="T231" t="inlineStr"/>
      <c r="V231">
        <f>(I231-O231)^2+(J231-P231)^2+(K231-Q231)^2</f>
        <v/>
      </c>
      <c r="W231">
        <f>IF(B231&lt;&gt;"KO","",IF(R231="pick",IF(VLOOKUP(A231,'Match Universe'!A:K,11,FALSE)=S231,"hit","miss"),IF(R231="pass","n/a","n/a")))</f>
        <v/>
      </c>
      <c r="X231" t="inlineStr">
        <is>
          <t>BACKTEST wc 2022</t>
        </is>
      </c>
    </row>
    <row r="232">
      <c r="A232" t="inlineStr">
        <is>
          <t>wc22-qf-ned-arg-20221209</t>
        </is>
      </c>
      <c r="B232" t="inlineStr">
        <is>
          <t>T-1h</t>
        </is>
      </c>
      <c r="C232" t="n">
        <v>2040</v>
      </c>
      <c r="D232" t="n">
        <v>2142</v>
      </c>
      <c r="E232" t="n">
        <v>0</v>
      </c>
      <c r="F232" t="n">
        <v>8</v>
      </c>
      <c r="G232" t="n">
        <v>1</v>
      </c>
      <c r="H232" t="n">
        <v>1</v>
      </c>
      <c r="I232" t="n">
        <v>0.271967</v>
      </c>
      <c r="J232" t="n">
        <v>0.2388</v>
      </c>
      <c r="K232" t="n">
        <v>0.489233</v>
      </c>
      <c r="L232" t="n">
        <v>0.271103</v>
      </c>
      <c r="M232" t="n">
        <v>0.310456</v>
      </c>
      <c r="N232" t="n">
        <v>0.418441</v>
      </c>
      <c r="O232" t="n">
        <v>0</v>
      </c>
      <c r="P232" t="n">
        <v>0</v>
      </c>
      <c r="Q232" t="n">
        <v>0</v>
      </c>
      <c r="R232" t="inlineStr">
        <is>
          <t>pass</t>
        </is>
      </c>
      <c r="S232" t="inlineStr"/>
      <c r="T232" t="inlineStr"/>
      <c r="V232">
        <f>(I232-O232)^2+(J232-P232)^2+(K232-Q232)^2</f>
        <v/>
      </c>
      <c r="W232">
        <f>IF(B232&lt;&gt;"KO","",IF(R232="pick",IF(VLOOKUP(A232,'Match Universe'!A:K,11,FALSE)=S232,"hit","miss"),IF(R232="pass","n/a","n/a")))</f>
        <v/>
      </c>
      <c r="X232" t="inlineStr">
        <is>
          <t>BACKTEST wc 2022</t>
        </is>
      </c>
    </row>
    <row r="233">
      <c r="A233" t="inlineStr">
        <is>
          <t>wc22-qf-ned-arg-20221209</t>
        </is>
      </c>
      <c r="B233" t="inlineStr">
        <is>
          <t>KO</t>
        </is>
      </c>
      <c r="C233" t="n">
        <v>2040</v>
      </c>
      <c r="D233" t="n">
        <v>2142</v>
      </c>
      <c r="E233" t="n">
        <v>0</v>
      </c>
      <c r="F233" t="n">
        <v>8</v>
      </c>
      <c r="G233" t="n">
        <v>1</v>
      </c>
      <c r="H233" t="n">
        <v>1</v>
      </c>
      <c r="I233" t="n">
        <v>0.271967</v>
      </c>
      <c r="J233" t="n">
        <v>0.2388</v>
      </c>
      <c r="K233" t="n">
        <v>0.489233</v>
      </c>
      <c r="L233" t="n">
        <v>0.271103</v>
      </c>
      <c r="M233" t="n">
        <v>0.310456</v>
      </c>
      <c r="N233" t="n">
        <v>0.418441</v>
      </c>
      <c r="O233" t="n">
        <v>0</v>
      </c>
      <c r="P233" t="n">
        <v>1</v>
      </c>
      <c r="Q233" t="n">
        <v>0</v>
      </c>
      <c r="R233" t="inlineStr">
        <is>
          <t>pass</t>
        </is>
      </c>
      <c r="S233" t="inlineStr"/>
      <c r="T233" t="inlineStr"/>
      <c r="V233">
        <f>(I233-O233)^2+(J233-P233)^2+(K233-Q233)^2</f>
        <v/>
      </c>
      <c r="W233">
        <f>IF(B233&lt;&gt;"KO","",IF(R233="pick",IF(VLOOKUP(A233,'Match Universe'!A:K,11,FALSE)=S233,"hit","miss"),IF(R233="pass","n/a","n/a")))</f>
        <v/>
      </c>
      <c r="X233" t="inlineStr">
        <is>
          <t>BACKTEST wc 2022</t>
        </is>
      </c>
    </row>
    <row r="234">
      <c r="A234" t="inlineStr">
        <is>
          <t>wc22-qf-mar-por-20221210</t>
        </is>
      </c>
      <c r="B234" t="inlineStr">
        <is>
          <t>T-38</t>
        </is>
      </c>
      <c r="C234" t="n">
        <v>1779</v>
      </c>
      <c r="D234" t="n">
        <v>2040</v>
      </c>
      <c r="E234" t="n">
        <v>0</v>
      </c>
      <c r="F234" t="n">
        <v>8</v>
      </c>
      <c r="G234" t="n">
        <v>1</v>
      </c>
      <c r="H234" t="n">
        <v>1</v>
      </c>
      <c r="I234" t="n">
        <v>0.155955</v>
      </c>
      <c r="J234" t="n">
        <v>0.1434</v>
      </c>
      <c r="K234" t="n">
        <v>0.700645</v>
      </c>
      <c r="L234" t="n">
        <v>0.163822</v>
      </c>
      <c r="M234" t="n">
        <v>0.26032</v>
      </c>
      <c r="N234" t="n">
        <v>0.575859</v>
      </c>
      <c r="O234" t="n">
        <v>0</v>
      </c>
      <c r="P234" t="n">
        <v>0</v>
      </c>
      <c r="Q234" t="n">
        <v>0</v>
      </c>
      <c r="R234" t="inlineStr">
        <is>
          <t>pass</t>
        </is>
      </c>
      <c r="S234" t="inlineStr"/>
      <c r="T234" t="inlineStr"/>
      <c r="V234">
        <f>(I234-O234)^2+(J234-P234)^2+(K234-Q234)^2</f>
        <v/>
      </c>
      <c r="W234">
        <f>IF(B234&lt;&gt;"KO","",IF(R234="pick",IF(VLOOKUP(A234,'Match Universe'!A:K,11,FALSE)=S234,"hit","miss"),IF(R234="pass","n/a","n/a")))</f>
        <v/>
      </c>
      <c r="X234" t="inlineStr">
        <is>
          <t>BACKTEST wc 2022</t>
        </is>
      </c>
    </row>
    <row r="235">
      <c r="A235" t="inlineStr">
        <is>
          <t>wc22-qf-mar-por-20221210</t>
        </is>
      </c>
      <c r="B235" t="inlineStr">
        <is>
          <t>T-5</t>
        </is>
      </c>
      <c r="C235" t="n">
        <v>1779</v>
      </c>
      <c r="D235" t="n">
        <v>2040</v>
      </c>
      <c r="E235" t="n">
        <v>0</v>
      </c>
      <c r="F235" t="n">
        <v>8</v>
      </c>
      <c r="G235" t="n">
        <v>1</v>
      </c>
      <c r="H235" t="n">
        <v>1</v>
      </c>
      <c r="I235" t="n">
        <v>0.155955</v>
      </c>
      <c r="J235" t="n">
        <v>0.1434</v>
      </c>
      <c r="K235" t="n">
        <v>0.700645</v>
      </c>
      <c r="L235" t="n">
        <v>0.163822</v>
      </c>
      <c r="M235" t="n">
        <v>0.26032</v>
      </c>
      <c r="N235" t="n">
        <v>0.575859</v>
      </c>
      <c r="O235" t="n">
        <v>0</v>
      </c>
      <c r="P235" t="n">
        <v>0</v>
      </c>
      <c r="Q235" t="n">
        <v>0</v>
      </c>
      <c r="R235" t="inlineStr">
        <is>
          <t>pass</t>
        </is>
      </c>
      <c r="S235" t="inlineStr"/>
      <c r="T235" t="inlineStr"/>
      <c r="V235">
        <f>(I235-O235)^2+(J235-P235)^2+(K235-Q235)^2</f>
        <v/>
      </c>
      <c r="W235">
        <f>IF(B235&lt;&gt;"KO","",IF(R235="pick",IF(VLOOKUP(A235,'Match Universe'!A:K,11,FALSE)=S235,"hit","miss"),IF(R235="pass","n/a","n/a")))</f>
        <v/>
      </c>
      <c r="X235" t="inlineStr">
        <is>
          <t>BACKTEST wc 2022</t>
        </is>
      </c>
    </row>
    <row r="236">
      <c r="A236" t="inlineStr">
        <is>
          <t>wc22-qf-mar-por-20221210</t>
        </is>
      </c>
      <c r="B236" t="inlineStr">
        <is>
          <t>T-1h</t>
        </is>
      </c>
      <c r="C236" t="n">
        <v>1779</v>
      </c>
      <c r="D236" t="n">
        <v>2040</v>
      </c>
      <c r="E236" t="n">
        <v>0</v>
      </c>
      <c r="F236" t="n">
        <v>8</v>
      </c>
      <c r="G236" t="n">
        <v>1</v>
      </c>
      <c r="H236" t="n">
        <v>1</v>
      </c>
      <c r="I236" t="n">
        <v>0.155955</v>
      </c>
      <c r="J236" t="n">
        <v>0.1434</v>
      </c>
      <c r="K236" t="n">
        <v>0.700645</v>
      </c>
      <c r="L236" t="n">
        <v>0.163822</v>
      </c>
      <c r="M236" t="n">
        <v>0.26032</v>
      </c>
      <c r="N236" t="n">
        <v>0.575859</v>
      </c>
      <c r="O236" t="n">
        <v>0</v>
      </c>
      <c r="P236" t="n">
        <v>0</v>
      </c>
      <c r="Q236" t="n">
        <v>0</v>
      </c>
      <c r="R236" t="inlineStr">
        <is>
          <t>pass</t>
        </is>
      </c>
      <c r="S236" t="inlineStr"/>
      <c r="T236" t="inlineStr"/>
      <c r="V236">
        <f>(I236-O236)^2+(J236-P236)^2+(K236-Q236)^2</f>
        <v/>
      </c>
      <c r="W236">
        <f>IF(B236&lt;&gt;"KO","",IF(R236="pick",IF(VLOOKUP(A236,'Match Universe'!A:K,11,FALSE)=S236,"hit","miss"),IF(R236="pass","n/a","n/a")))</f>
        <v/>
      </c>
      <c r="X236" t="inlineStr">
        <is>
          <t>BACKTEST wc 2022</t>
        </is>
      </c>
    </row>
    <row r="237">
      <c r="A237" t="inlineStr">
        <is>
          <t>wc22-qf-mar-por-20221210</t>
        </is>
      </c>
      <c r="B237" t="inlineStr">
        <is>
          <t>KO</t>
        </is>
      </c>
      <c r="C237" t="n">
        <v>1779</v>
      </c>
      <c r="D237" t="n">
        <v>2040</v>
      </c>
      <c r="E237" t="n">
        <v>0</v>
      </c>
      <c r="F237" t="n">
        <v>8</v>
      </c>
      <c r="G237" t="n">
        <v>1</v>
      </c>
      <c r="H237" t="n">
        <v>1</v>
      </c>
      <c r="I237" t="n">
        <v>0.155955</v>
      </c>
      <c r="J237" t="n">
        <v>0.1434</v>
      </c>
      <c r="K237" t="n">
        <v>0.700645</v>
      </c>
      <c r="L237" t="n">
        <v>0.163822</v>
      </c>
      <c r="M237" t="n">
        <v>0.26032</v>
      </c>
      <c r="N237" t="n">
        <v>0.575859</v>
      </c>
      <c r="O237" t="n">
        <v>1</v>
      </c>
      <c r="P237" t="n">
        <v>0</v>
      </c>
      <c r="Q237" t="n">
        <v>0</v>
      </c>
      <c r="R237" t="inlineStr">
        <is>
          <t>pass</t>
        </is>
      </c>
      <c r="S237" t="inlineStr"/>
      <c r="T237" t="inlineStr"/>
      <c r="V237">
        <f>(I237-O237)^2+(J237-P237)^2+(K237-Q237)^2</f>
        <v/>
      </c>
      <c r="W237">
        <f>IF(B237&lt;&gt;"KO","",IF(R237="pick",IF(VLOOKUP(A237,'Match Universe'!A:K,11,FALSE)=S237,"hit","miss"),IF(R237="pass","n/a","n/a")))</f>
        <v/>
      </c>
      <c r="X237" t="inlineStr">
        <is>
          <t>BACKTEST wc 2022</t>
        </is>
      </c>
    </row>
    <row r="238">
      <c r="A238" t="inlineStr">
        <is>
          <t>wc22-qf-eng-fra-20221210</t>
        </is>
      </c>
      <c r="B238" t="inlineStr">
        <is>
          <t>T-38</t>
        </is>
      </c>
      <c r="C238" t="n">
        <v>2020</v>
      </c>
      <c r="D238" t="n">
        <v>2080</v>
      </c>
      <c r="E238" t="n">
        <v>0</v>
      </c>
      <c r="F238" t="n">
        <v>12</v>
      </c>
      <c r="G238" t="n">
        <v>1</v>
      </c>
      <c r="H238" t="n">
        <v>1</v>
      </c>
      <c r="I238" t="n">
        <v>0.305073</v>
      </c>
      <c r="J238" t="n">
        <v>0.264</v>
      </c>
      <c r="K238" t="n">
        <v>0.430927</v>
      </c>
      <c r="L238" t="n">
        <v>0.29313</v>
      </c>
      <c r="M238" t="n">
        <v>0.312042</v>
      </c>
      <c r="N238" t="n">
        <v>0.394828</v>
      </c>
      <c r="O238" t="n">
        <v>0</v>
      </c>
      <c r="P238" t="n">
        <v>0</v>
      </c>
      <c r="Q238" t="n">
        <v>0</v>
      </c>
      <c r="R238" t="inlineStr">
        <is>
          <t>pass</t>
        </is>
      </c>
      <c r="S238" t="inlineStr"/>
      <c r="T238" t="inlineStr"/>
      <c r="V238">
        <f>(I238-O238)^2+(J238-P238)^2+(K238-Q238)^2</f>
        <v/>
      </c>
      <c r="W238">
        <f>IF(B238&lt;&gt;"KO","",IF(R238="pick",IF(VLOOKUP(A238,'Match Universe'!A:K,11,FALSE)=S238,"hit","miss"),IF(R238="pass","n/a","n/a")))</f>
        <v/>
      </c>
      <c r="X238" t="inlineStr">
        <is>
          <t>BACKTEST wc 2022</t>
        </is>
      </c>
    </row>
    <row r="239">
      <c r="A239" t="inlineStr">
        <is>
          <t>wc22-qf-eng-fra-20221210</t>
        </is>
      </c>
      <c r="B239" t="inlineStr">
        <is>
          <t>T-5</t>
        </is>
      </c>
      <c r="C239" t="n">
        <v>2020</v>
      </c>
      <c r="D239" t="n">
        <v>2080</v>
      </c>
      <c r="E239" t="n">
        <v>0</v>
      </c>
      <c r="F239" t="n">
        <v>12</v>
      </c>
      <c r="G239" t="n">
        <v>1</v>
      </c>
      <c r="H239" t="n">
        <v>1</v>
      </c>
      <c r="I239" t="n">
        <v>0.305073</v>
      </c>
      <c r="J239" t="n">
        <v>0.264</v>
      </c>
      <c r="K239" t="n">
        <v>0.430927</v>
      </c>
      <c r="L239" t="n">
        <v>0.29313</v>
      </c>
      <c r="M239" t="n">
        <v>0.312042</v>
      </c>
      <c r="N239" t="n">
        <v>0.394828</v>
      </c>
      <c r="O239" t="n">
        <v>0</v>
      </c>
      <c r="P239" t="n">
        <v>0</v>
      </c>
      <c r="Q239" t="n">
        <v>0</v>
      </c>
      <c r="R239" t="inlineStr">
        <is>
          <t>pass</t>
        </is>
      </c>
      <c r="S239" t="inlineStr"/>
      <c r="T239" t="inlineStr"/>
      <c r="V239">
        <f>(I239-O239)^2+(J239-P239)^2+(K239-Q239)^2</f>
        <v/>
      </c>
      <c r="W239">
        <f>IF(B239&lt;&gt;"KO","",IF(R239="pick",IF(VLOOKUP(A239,'Match Universe'!A:K,11,FALSE)=S239,"hit","miss"),IF(R239="pass","n/a","n/a")))</f>
        <v/>
      </c>
      <c r="X239" t="inlineStr">
        <is>
          <t>BACKTEST wc 2022</t>
        </is>
      </c>
    </row>
    <row r="240">
      <c r="A240" t="inlineStr">
        <is>
          <t>wc22-qf-eng-fra-20221210</t>
        </is>
      </c>
      <c r="B240" t="inlineStr">
        <is>
          <t>T-1h</t>
        </is>
      </c>
      <c r="C240" t="n">
        <v>2020</v>
      </c>
      <c r="D240" t="n">
        <v>2080</v>
      </c>
      <c r="E240" t="n">
        <v>0</v>
      </c>
      <c r="F240" t="n">
        <v>12</v>
      </c>
      <c r="G240" t="n">
        <v>1</v>
      </c>
      <c r="H240" t="n">
        <v>1</v>
      </c>
      <c r="I240" t="n">
        <v>0.305073</v>
      </c>
      <c r="J240" t="n">
        <v>0.264</v>
      </c>
      <c r="K240" t="n">
        <v>0.430927</v>
      </c>
      <c r="L240" t="n">
        <v>0.29313</v>
      </c>
      <c r="M240" t="n">
        <v>0.312042</v>
      </c>
      <c r="N240" t="n">
        <v>0.394828</v>
      </c>
      <c r="O240" t="n">
        <v>0</v>
      </c>
      <c r="P240" t="n">
        <v>0</v>
      </c>
      <c r="Q240" t="n">
        <v>0</v>
      </c>
      <c r="R240" t="inlineStr">
        <is>
          <t>pass</t>
        </is>
      </c>
      <c r="S240" t="inlineStr"/>
      <c r="T240" t="inlineStr"/>
      <c r="V240">
        <f>(I240-O240)^2+(J240-P240)^2+(K240-Q240)^2</f>
        <v/>
      </c>
      <c r="W240">
        <f>IF(B240&lt;&gt;"KO","",IF(R240="pick",IF(VLOOKUP(A240,'Match Universe'!A:K,11,FALSE)=S240,"hit","miss"),IF(R240="pass","n/a","n/a")))</f>
        <v/>
      </c>
      <c r="X240" t="inlineStr">
        <is>
          <t>BACKTEST wc 2022</t>
        </is>
      </c>
    </row>
    <row r="241">
      <c r="A241" t="inlineStr">
        <is>
          <t>wc22-qf-eng-fra-20221210</t>
        </is>
      </c>
      <c r="B241" t="inlineStr">
        <is>
          <t>KO</t>
        </is>
      </c>
      <c r="C241" t="n">
        <v>2020</v>
      </c>
      <c r="D241" t="n">
        <v>2080</v>
      </c>
      <c r="E241" t="n">
        <v>0</v>
      </c>
      <c r="F241" t="n">
        <v>12</v>
      </c>
      <c r="G241" t="n">
        <v>1</v>
      </c>
      <c r="H241" t="n">
        <v>1</v>
      </c>
      <c r="I241" t="n">
        <v>0.305073</v>
      </c>
      <c r="J241" t="n">
        <v>0.264</v>
      </c>
      <c r="K241" t="n">
        <v>0.430927</v>
      </c>
      <c r="L241" t="n">
        <v>0.29313</v>
      </c>
      <c r="M241" t="n">
        <v>0.312042</v>
      </c>
      <c r="N241" t="n">
        <v>0.394828</v>
      </c>
      <c r="O241" t="n">
        <v>0</v>
      </c>
      <c r="P241" t="n">
        <v>0</v>
      </c>
      <c r="Q241" t="n">
        <v>1</v>
      </c>
      <c r="R241" t="inlineStr">
        <is>
          <t>pass</t>
        </is>
      </c>
      <c r="S241" t="inlineStr"/>
      <c r="T241" t="inlineStr"/>
      <c r="V241">
        <f>(I241-O241)^2+(J241-P241)^2+(K241-Q241)^2</f>
        <v/>
      </c>
      <c r="W241">
        <f>IF(B241&lt;&gt;"KO","",IF(R241="pick",IF(VLOOKUP(A241,'Match Universe'!A:K,11,FALSE)=S241,"hit","miss"),IF(R241="pass","n/a","n/a")))</f>
        <v/>
      </c>
      <c r="X241" t="inlineStr">
        <is>
          <t>BACKTEST wc 2022</t>
        </is>
      </c>
    </row>
    <row r="242">
      <c r="A242" t="inlineStr">
        <is>
          <t>wc22-sf-arg-cro-20221213</t>
        </is>
      </c>
      <c r="B242" t="inlineStr">
        <is>
          <t>T-38</t>
        </is>
      </c>
      <c r="C242" t="n">
        <v>2142</v>
      </c>
      <c r="D242" t="n">
        <v>1920</v>
      </c>
      <c r="E242" t="n">
        <v>0</v>
      </c>
      <c r="F242" t="n">
        <v>8</v>
      </c>
      <c r="G242" t="n">
        <v>1</v>
      </c>
      <c r="H242" t="n">
        <v>1</v>
      </c>
      <c r="I242" t="n">
        <v>0.651644</v>
      </c>
      <c r="J242" t="n">
        <v>0.1668</v>
      </c>
      <c r="K242" t="n">
        <v>0.181556</v>
      </c>
      <c r="L242" t="n">
        <v>0.51492</v>
      </c>
      <c r="M242" t="n">
        <v>0.288667</v>
      </c>
      <c r="N242" t="n">
        <v>0.196413</v>
      </c>
      <c r="O242" t="n">
        <v>0</v>
      </c>
      <c r="P242" t="n">
        <v>0</v>
      </c>
      <c r="Q242" t="n">
        <v>0</v>
      </c>
      <c r="R242" t="inlineStr">
        <is>
          <t>pass</t>
        </is>
      </c>
      <c r="S242" t="inlineStr"/>
      <c r="T242" t="inlineStr"/>
      <c r="V242">
        <f>(I242-O242)^2+(J242-P242)^2+(K242-Q242)^2</f>
        <v/>
      </c>
      <c r="W242">
        <f>IF(B242&lt;&gt;"KO","",IF(R242="pick",IF(VLOOKUP(A242,'Match Universe'!A:K,11,FALSE)=S242,"hit","miss"),IF(R242="pass","n/a","n/a")))</f>
        <v/>
      </c>
      <c r="X242" t="inlineStr">
        <is>
          <t>BACKTEST wc 2022</t>
        </is>
      </c>
    </row>
    <row r="243">
      <c r="A243" t="inlineStr">
        <is>
          <t>wc22-sf-arg-cro-20221213</t>
        </is>
      </c>
      <c r="B243" t="inlineStr">
        <is>
          <t>T-5</t>
        </is>
      </c>
      <c r="C243" t="n">
        <v>2142</v>
      </c>
      <c r="D243" t="n">
        <v>1920</v>
      </c>
      <c r="E243" t="n">
        <v>0</v>
      </c>
      <c r="F243" t="n">
        <v>8</v>
      </c>
      <c r="G243" t="n">
        <v>1</v>
      </c>
      <c r="H243" t="n">
        <v>1</v>
      </c>
      <c r="I243" t="n">
        <v>0.651644</v>
      </c>
      <c r="J243" t="n">
        <v>0.1668</v>
      </c>
      <c r="K243" t="n">
        <v>0.181556</v>
      </c>
      <c r="L243" t="n">
        <v>0.51492</v>
      </c>
      <c r="M243" t="n">
        <v>0.288667</v>
      </c>
      <c r="N243" t="n">
        <v>0.196413</v>
      </c>
      <c r="O243" t="n">
        <v>0</v>
      </c>
      <c r="P243" t="n">
        <v>0</v>
      </c>
      <c r="Q243" t="n">
        <v>0</v>
      </c>
      <c r="R243" t="inlineStr">
        <is>
          <t>pass</t>
        </is>
      </c>
      <c r="S243" t="inlineStr"/>
      <c r="T243" t="inlineStr"/>
      <c r="V243">
        <f>(I243-O243)^2+(J243-P243)^2+(K243-Q243)^2</f>
        <v/>
      </c>
      <c r="W243">
        <f>IF(B243&lt;&gt;"KO","",IF(R243="pick",IF(VLOOKUP(A243,'Match Universe'!A:K,11,FALSE)=S243,"hit","miss"),IF(R243="pass","n/a","n/a")))</f>
        <v/>
      </c>
      <c r="X243" t="inlineStr">
        <is>
          <t>BACKTEST wc 2022</t>
        </is>
      </c>
    </row>
    <row r="244">
      <c r="A244" t="inlineStr">
        <is>
          <t>wc22-sf-arg-cro-20221213</t>
        </is>
      </c>
      <c r="B244" t="inlineStr">
        <is>
          <t>T-1h</t>
        </is>
      </c>
      <c r="C244" t="n">
        <v>2142</v>
      </c>
      <c r="D244" t="n">
        <v>1920</v>
      </c>
      <c r="E244" t="n">
        <v>0</v>
      </c>
      <c r="F244" t="n">
        <v>8</v>
      </c>
      <c r="G244" t="n">
        <v>1</v>
      </c>
      <c r="H244" t="n">
        <v>1</v>
      </c>
      <c r="I244" t="n">
        <v>0.651644</v>
      </c>
      <c r="J244" t="n">
        <v>0.1668</v>
      </c>
      <c r="K244" t="n">
        <v>0.181556</v>
      </c>
      <c r="L244" t="n">
        <v>0.51492</v>
      </c>
      <c r="M244" t="n">
        <v>0.288667</v>
      </c>
      <c r="N244" t="n">
        <v>0.196413</v>
      </c>
      <c r="O244" t="n">
        <v>0</v>
      </c>
      <c r="P244" t="n">
        <v>0</v>
      </c>
      <c r="Q244" t="n">
        <v>0</v>
      </c>
      <c r="R244" t="inlineStr">
        <is>
          <t>pass</t>
        </is>
      </c>
      <c r="S244" t="inlineStr"/>
      <c r="T244" t="inlineStr"/>
      <c r="V244">
        <f>(I244-O244)^2+(J244-P244)^2+(K244-Q244)^2</f>
        <v/>
      </c>
      <c r="W244">
        <f>IF(B244&lt;&gt;"KO","",IF(R244="pick",IF(VLOOKUP(A244,'Match Universe'!A:K,11,FALSE)=S244,"hit","miss"),IF(R244="pass","n/a","n/a")))</f>
        <v/>
      </c>
      <c r="X244" t="inlineStr">
        <is>
          <t>BACKTEST wc 2022</t>
        </is>
      </c>
    </row>
    <row r="245">
      <c r="A245" t="inlineStr">
        <is>
          <t>wc22-sf-arg-cro-20221213</t>
        </is>
      </c>
      <c r="B245" t="inlineStr">
        <is>
          <t>KO</t>
        </is>
      </c>
      <c r="C245" t="n">
        <v>2142</v>
      </c>
      <c r="D245" t="n">
        <v>1920</v>
      </c>
      <c r="E245" t="n">
        <v>0</v>
      </c>
      <c r="F245" t="n">
        <v>8</v>
      </c>
      <c r="G245" t="n">
        <v>1</v>
      </c>
      <c r="H245" t="n">
        <v>1</v>
      </c>
      <c r="I245" t="n">
        <v>0.651644</v>
      </c>
      <c r="J245" t="n">
        <v>0.1668</v>
      </c>
      <c r="K245" t="n">
        <v>0.181556</v>
      </c>
      <c r="L245" t="n">
        <v>0.51492</v>
      </c>
      <c r="M245" t="n">
        <v>0.288667</v>
      </c>
      <c r="N245" t="n">
        <v>0.196413</v>
      </c>
      <c r="O245" t="n">
        <v>1</v>
      </c>
      <c r="P245" t="n">
        <v>0</v>
      </c>
      <c r="Q245" t="n">
        <v>0</v>
      </c>
      <c r="R245" t="inlineStr">
        <is>
          <t>pass</t>
        </is>
      </c>
      <c r="S245" t="inlineStr"/>
      <c r="T245" t="inlineStr"/>
      <c r="V245">
        <f>(I245-O245)^2+(J245-P245)^2+(K245-Q245)^2</f>
        <v/>
      </c>
      <c r="W245">
        <f>IF(B245&lt;&gt;"KO","",IF(R245="pick",IF(VLOOKUP(A245,'Match Universe'!A:K,11,FALSE)=S245,"hit","miss"),IF(R245="pass","n/a","n/a")))</f>
        <v/>
      </c>
      <c r="X245" t="inlineStr">
        <is>
          <t>BACKTEST wc 2022</t>
        </is>
      </c>
    </row>
    <row r="246">
      <c r="A246" t="inlineStr">
        <is>
          <t>wc22-sf-fra-mar-20221214</t>
        </is>
      </c>
      <c r="B246" t="inlineStr">
        <is>
          <t>T-38</t>
        </is>
      </c>
      <c r="C246" t="n">
        <v>2080</v>
      </c>
      <c r="D246" t="n">
        <v>1779</v>
      </c>
      <c r="E246" t="n">
        <v>0</v>
      </c>
      <c r="F246" t="n">
        <v>12</v>
      </c>
      <c r="G246" t="n">
        <v>1</v>
      </c>
      <c r="H246" t="n">
        <v>1</v>
      </c>
      <c r="I246" t="n">
        <v>0.748296</v>
      </c>
      <c r="J246" t="n">
        <v>0.1194</v>
      </c>
      <c r="K246" t="n">
        <v>0.132304</v>
      </c>
      <c r="L246" t="n">
        <v>0.586315</v>
      </c>
      <c r="M246" t="n">
        <v>0.267558</v>
      </c>
      <c r="N246" t="n">
        <v>0.146128</v>
      </c>
      <c r="O246" t="n">
        <v>0</v>
      </c>
      <c r="P246" t="n">
        <v>0</v>
      </c>
      <c r="Q246" t="n">
        <v>0</v>
      </c>
      <c r="R246" t="inlineStr">
        <is>
          <t>pick</t>
        </is>
      </c>
      <c r="S246" t="inlineStr">
        <is>
          <t>France</t>
        </is>
      </c>
      <c r="T246" t="inlineStr">
        <is>
          <t>polymarket</t>
        </is>
      </c>
      <c r="U246" t="n">
        <v>16.2</v>
      </c>
      <c r="V246">
        <f>(I246-O246)^2+(J246-P246)^2+(K246-Q246)^2</f>
        <v/>
      </c>
      <c r="W246">
        <f>IF(B246&lt;&gt;"KO","",IF(R246="pick",IF(VLOOKUP(A246,'Match Universe'!A:K,11,FALSE)=S246,"hit","miss"),IF(R246="pass","n/a","n/a")))</f>
        <v/>
      </c>
      <c r="X246" t="inlineStr">
        <is>
          <t>BACKTEST wc 2022</t>
        </is>
      </c>
    </row>
    <row r="247">
      <c r="A247" t="inlineStr">
        <is>
          <t>wc22-sf-fra-mar-20221214</t>
        </is>
      </c>
      <c r="B247" t="inlineStr">
        <is>
          <t>T-5</t>
        </is>
      </c>
      <c r="C247" t="n">
        <v>2080</v>
      </c>
      <c r="D247" t="n">
        <v>1779</v>
      </c>
      <c r="E247" t="n">
        <v>0</v>
      </c>
      <c r="F247" t="n">
        <v>12</v>
      </c>
      <c r="G247" t="n">
        <v>1</v>
      </c>
      <c r="H247" t="n">
        <v>1</v>
      </c>
      <c r="I247" t="n">
        <v>0.748296</v>
      </c>
      <c r="J247" t="n">
        <v>0.1194</v>
      </c>
      <c r="K247" t="n">
        <v>0.132304</v>
      </c>
      <c r="L247" t="n">
        <v>0.586315</v>
      </c>
      <c r="M247" t="n">
        <v>0.267558</v>
      </c>
      <c r="N247" t="n">
        <v>0.146128</v>
      </c>
      <c r="O247" t="n">
        <v>0</v>
      </c>
      <c r="P247" t="n">
        <v>0</v>
      </c>
      <c r="Q247" t="n">
        <v>0</v>
      </c>
      <c r="R247" t="inlineStr">
        <is>
          <t>pick</t>
        </is>
      </c>
      <c r="S247" t="inlineStr">
        <is>
          <t>France</t>
        </is>
      </c>
      <c r="T247" t="inlineStr">
        <is>
          <t>polymarket</t>
        </is>
      </c>
      <c r="U247" t="n">
        <v>16.2</v>
      </c>
      <c r="V247">
        <f>(I247-O247)^2+(J247-P247)^2+(K247-Q247)^2</f>
        <v/>
      </c>
      <c r="W247">
        <f>IF(B247&lt;&gt;"KO","",IF(R247="pick",IF(VLOOKUP(A247,'Match Universe'!A:K,11,FALSE)=S247,"hit","miss"),IF(R247="pass","n/a","n/a")))</f>
        <v/>
      </c>
      <c r="X247" t="inlineStr">
        <is>
          <t>BACKTEST wc 2022</t>
        </is>
      </c>
    </row>
    <row r="248">
      <c r="A248" t="inlineStr">
        <is>
          <t>wc22-sf-fra-mar-20221214</t>
        </is>
      </c>
      <c r="B248" t="inlineStr">
        <is>
          <t>T-1h</t>
        </is>
      </c>
      <c r="C248" t="n">
        <v>2080</v>
      </c>
      <c r="D248" t="n">
        <v>1779</v>
      </c>
      <c r="E248" t="n">
        <v>0</v>
      </c>
      <c r="F248" t="n">
        <v>12</v>
      </c>
      <c r="G248" t="n">
        <v>1</v>
      </c>
      <c r="H248" t="n">
        <v>1</v>
      </c>
      <c r="I248" t="n">
        <v>0.748296</v>
      </c>
      <c r="J248" t="n">
        <v>0.1194</v>
      </c>
      <c r="K248" t="n">
        <v>0.132304</v>
      </c>
      <c r="L248" t="n">
        <v>0.586315</v>
      </c>
      <c r="M248" t="n">
        <v>0.267558</v>
      </c>
      <c r="N248" t="n">
        <v>0.146128</v>
      </c>
      <c r="O248" t="n">
        <v>0</v>
      </c>
      <c r="P248" t="n">
        <v>0</v>
      </c>
      <c r="Q248" t="n">
        <v>0</v>
      </c>
      <c r="R248" t="inlineStr">
        <is>
          <t>pick</t>
        </is>
      </c>
      <c r="S248" t="inlineStr">
        <is>
          <t>France</t>
        </is>
      </c>
      <c r="T248" t="inlineStr">
        <is>
          <t>polymarket</t>
        </is>
      </c>
      <c r="U248" t="n">
        <v>16.2</v>
      </c>
      <c r="V248">
        <f>(I248-O248)^2+(J248-P248)^2+(K248-Q248)^2</f>
        <v/>
      </c>
      <c r="W248">
        <f>IF(B248&lt;&gt;"KO","",IF(R248="pick",IF(VLOOKUP(A248,'Match Universe'!A:K,11,FALSE)=S248,"hit","miss"),IF(R248="pass","n/a","n/a")))</f>
        <v/>
      </c>
      <c r="X248" t="inlineStr">
        <is>
          <t>BACKTEST wc 2022</t>
        </is>
      </c>
    </row>
    <row r="249">
      <c r="A249" t="inlineStr">
        <is>
          <t>wc22-sf-fra-mar-20221214</t>
        </is>
      </c>
      <c r="B249" t="inlineStr">
        <is>
          <t>KO</t>
        </is>
      </c>
      <c r="C249" t="n">
        <v>2080</v>
      </c>
      <c r="D249" t="n">
        <v>1779</v>
      </c>
      <c r="E249" t="n">
        <v>0</v>
      </c>
      <c r="F249" t="n">
        <v>12</v>
      </c>
      <c r="G249" t="n">
        <v>1</v>
      </c>
      <c r="H249" t="n">
        <v>1</v>
      </c>
      <c r="I249" t="n">
        <v>0.748296</v>
      </c>
      <c r="J249" t="n">
        <v>0.1194</v>
      </c>
      <c r="K249" t="n">
        <v>0.132304</v>
      </c>
      <c r="L249" t="n">
        <v>0.586315</v>
      </c>
      <c r="M249" t="n">
        <v>0.267558</v>
      </c>
      <c r="N249" t="n">
        <v>0.146128</v>
      </c>
      <c r="O249" t="n">
        <v>1</v>
      </c>
      <c r="P249" t="n">
        <v>0</v>
      </c>
      <c r="Q249" t="n">
        <v>0</v>
      </c>
      <c r="R249" t="inlineStr">
        <is>
          <t>pick</t>
        </is>
      </c>
      <c r="S249" t="inlineStr">
        <is>
          <t>France</t>
        </is>
      </c>
      <c r="T249" t="inlineStr">
        <is>
          <t>polymarket</t>
        </is>
      </c>
      <c r="U249" t="n">
        <v>16.2</v>
      </c>
      <c r="V249">
        <f>(I249-O249)^2+(J249-P249)^2+(K249-Q249)^2</f>
        <v/>
      </c>
      <c r="W249">
        <f>IF(B249&lt;&gt;"KO","",IF(R249="pick",IF(VLOOKUP(A249,'Match Universe'!A:K,11,FALSE)=S249,"hit","miss"),IF(R249="pass","n/a","n/a")))</f>
        <v/>
      </c>
      <c r="X249" t="inlineStr">
        <is>
          <t>BACKTEST wc 2022</t>
        </is>
      </c>
    </row>
    <row r="250">
      <c r="A250" t="inlineStr">
        <is>
          <t>wc22-3rd-cro-mar-20221217</t>
        </is>
      </c>
      <c r="B250" t="inlineStr">
        <is>
          <t>T-38</t>
        </is>
      </c>
      <c r="C250" t="n">
        <v>1920</v>
      </c>
      <c r="D250" t="n">
        <v>1779</v>
      </c>
      <c r="E250" t="n">
        <v>0</v>
      </c>
      <c r="F250" t="n">
        <v>8</v>
      </c>
      <c r="G250" t="n">
        <v>1</v>
      </c>
      <c r="H250" t="n">
        <v>1</v>
      </c>
      <c r="I250" t="n">
        <v>0.543307</v>
      </c>
      <c r="J250" t="n">
        <v>0.2154</v>
      </c>
      <c r="K250" t="n">
        <v>0.241293</v>
      </c>
      <c r="L250" t="n">
        <v>0.458333</v>
      </c>
      <c r="M250" t="n">
        <v>0.291667</v>
      </c>
      <c r="N250" t="n">
        <v>0.25</v>
      </c>
      <c r="O250" t="n">
        <v>0</v>
      </c>
      <c r="P250" t="n">
        <v>0</v>
      </c>
      <c r="Q250" t="n">
        <v>0</v>
      </c>
      <c r="R250" t="inlineStr">
        <is>
          <t>pass</t>
        </is>
      </c>
      <c r="S250" t="inlineStr"/>
      <c r="T250" t="inlineStr"/>
      <c r="V250">
        <f>(I250-O250)^2+(J250-P250)^2+(K250-Q250)^2</f>
        <v/>
      </c>
      <c r="W250">
        <f>IF(B250&lt;&gt;"KO","",IF(R250="pick",IF(VLOOKUP(A250,'Match Universe'!A:K,11,FALSE)=S250,"hit","miss"),IF(R250="pass","n/a","n/a")))</f>
        <v/>
      </c>
      <c r="X250" t="inlineStr">
        <is>
          <t>BACKTEST wc 2022</t>
        </is>
      </c>
    </row>
    <row r="251">
      <c r="A251" t="inlineStr">
        <is>
          <t>wc22-3rd-cro-mar-20221217</t>
        </is>
      </c>
      <c r="B251" t="inlineStr">
        <is>
          <t>T-5</t>
        </is>
      </c>
      <c r="C251" t="n">
        <v>1920</v>
      </c>
      <c r="D251" t="n">
        <v>1779</v>
      </c>
      <c r="E251" t="n">
        <v>0</v>
      </c>
      <c r="F251" t="n">
        <v>8</v>
      </c>
      <c r="G251" t="n">
        <v>1</v>
      </c>
      <c r="H251" t="n">
        <v>1</v>
      </c>
      <c r="I251" t="n">
        <v>0.543307</v>
      </c>
      <c r="J251" t="n">
        <v>0.2154</v>
      </c>
      <c r="K251" t="n">
        <v>0.241293</v>
      </c>
      <c r="L251" t="n">
        <v>0.458333</v>
      </c>
      <c r="M251" t="n">
        <v>0.291667</v>
      </c>
      <c r="N251" t="n">
        <v>0.25</v>
      </c>
      <c r="O251" t="n">
        <v>0</v>
      </c>
      <c r="P251" t="n">
        <v>0</v>
      </c>
      <c r="Q251" t="n">
        <v>0</v>
      </c>
      <c r="R251" t="inlineStr">
        <is>
          <t>pass</t>
        </is>
      </c>
      <c r="S251" t="inlineStr"/>
      <c r="T251" t="inlineStr"/>
      <c r="V251">
        <f>(I251-O251)^2+(J251-P251)^2+(K251-Q251)^2</f>
        <v/>
      </c>
      <c r="W251">
        <f>IF(B251&lt;&gt;"KO","",IF(R251="pick",IF(VLOOKUP(A251,'Match Universe'!A:K,11,FALSE)=S251,"hit","miss"),IF(R251="pass","n/a","n/a")))</f>
        <v/>
      </c>
      <c r="X251" t="inlineStr">
        <is>
          <t>BACKTEST wc 2022</t>
        </is>
      </c>
    </row>
    <row r="252">
      <c r="A252" t="inlineStr">
        <is>
          <t>wc22-3rd-cro-mar-20221217</t>
        </is>
      </c>
      <c r="B252" t="inlineStr">
        <is>
          <t>T-1h</t>
        </is>
      </c>
      <c r="C252" t="n">
        <v>1920</v>
      </c>
      <c r="D252" t="n">
        <v>1779</v>
      </c>
      <c r="E252" t="n">
        <v>0</v>
      </c>
      <c r="F252" t="n">
        <v>8</v>
      </c>
      <c r="G252" t="n">
        <v>1</v>
      </c>
      <c r="H252" t="n">
        <v>1</v>
      </c>
      <c r="I252" t="n">
        <v>0.543307</v>
      </c>
      <c r="J252" t="n">
        <v>0.2154</v>
      </c>
      <c r="K252" t="n">
        <v>0.241293</v>
      </c>
      <c r="L252" t="n">
        <v>0.458333</v>
      </c>
      <c r="M252" t="n">
        <v>0.291667</v>
      </c>
      <c r="N252" t="n">
        <v>0.25</v>
      </c>
      <c r="O252" t="n">
        <v>0</v>
      </c>
      <c r="P252" t="n">
        <v>0</v>
      </c>
      <c r="Q252" t="n">
        <v>0</v>
      </c>
      <c r="R252" t="inlineStr">
        <is>
          <t>pass</t>
        </is>
      </c>
      <c r="S252" t="inlineStr"/>
      <c r="T252" t="inlineStr"/>
      <c r="V252">
        <f>(I252-O252)^2+(J252-P252)^2+(K252-Q252)^2</f>
        <v/>
      </c>
      <c r="W252">
        <f>IF(B252&lt;&gt;"KO","",IF(R252="pick",IF(VLOOKUP(A252,'Match Universe'!A:K,11,FALSE)=S252,"hit","miss"),IF(R252="pass","n/a","n/a")))</f>
        <v/>
      </c>
      <c r="X252" t="inlineStr">
        <is>
          <t>BACKTEST wc 2022</t>
        </is>
      </c>
    </row>
    <row r="253">
      <c r="A253" t="inlineStr">
        <is>
          <t>wc22-3rd-cro-mar-20221217</t>
        </is>
      </c>
      <c r="B253" t="inlineStr">
        <is>
          <t>KO</t>
        </is>
      </c>
      <c r="C253" t="n">
        <v>1920</v>
      </c>
      <c r="D253" t="n">
        <v>1779</v>
      </c>
      <c r="E253" t="n">
        <v>0</v>
      </c>
      <c r="F253" t="n">
        <v>8</v>
      </c>
      <c r="G253" t="n">
        <v>1</v>
      </c>
      <c r="H253" t="n">
        <v>1</v>
      </c>
      <c r="I253" t="n">
        <v>0.543307</v>
      </c>
      <c r="J253" t="n">
        <v>0.2154</v>
      </c>
      <c r="K253" t="n">
        <v>0.241293</v>
      </c>
      <c r="L253" t="n">
        <v>0.458333</v>
      </c>
      <c r="M253" t="n">
        <v>0.291667</v>
      </c>
      <c r="N253" t="n">
        <v>0.25</v>
      </c>
      <c r="O253" t="n">
        <v>1</v>
      </c>
      <c r="P253" t="n">
        <v>0</v>
      </c>
      <c r="Q253" t="n">
        <v>0</v>
      </c>
      <c r="R253" t="inlineStr">
        <is>
          <t>pass</t>
        </is>
      </c>
      <c r="S253" t="inlineStr"/>
      <c r="T253" t="inlineStr"/>
      <c r="V253">
        <f>(I253-O253)^2+(J253-P253)^2+(K253-Q253)^2</f>
        <v/>
      </c>
      <c r="W253">
        <f>IF(B253&lt;&gt;"KO","",IF(R253="pick",IF(VLOOKUP(A253,'Match Universe'!A:K,11,FALSE)=S253,"hit","miss"),IF(R253="pass","n/a","n/a")))</f>
        <v/>
      </c>
      <c r="X253" t="inlineStr">
        <is>
          <t>BACKTEST wc 2022</t>
        </is>
      </c>
    </row>
    <row r="254">
      <c r="A254" t="inlineStr">
        <is>
          <t>wc22-fin-arg-fra-20221218</t>
        </is>
      </c>
      <c r="B254" t="inlineStr">
        <is>
          <t>T-38</t>
        </is>
      </c>
      <c r="C254" t="n">
        <v>2142</v>
      </c>
      <c r="D254" t="n">
        <v>2080</v>
      </c>
      <c r="E254" t="n">
        <v>0</v>
      </c>
      <c r="F254" t="n">
        <v>8</v>
      </c>
      <c r="G254" t="n">
        <v>1</v>
      </c>
      <c r="H254" t="n">
        <v>1</v>
      </c>
      <c r="I254" t="n">
        <v>0.433687</v>
      </c>
      <c r="J254" t="n">
        <v>0.2628</v>
      </c>
      <c r="K254" t="n">
        <v>0.303513</v>
      </c>
      <c r="L254" t="n">
        <v>0.299546</v>
      </c>
      <c r="M254" t="n">
        <v>0.309209</v>
      </c>
      <c r="N254" t="n">
        <v>0.391244</v>
      </c>
      <c r="O254" t="n">
        <v>0</v>
      </c>
      <c r="P254" t="n">
        <v>0</v>
      </c>
      <c r="Q254" t="n">
        <v>0</v>
      </c>
      <c r="R254" t="inlineStr">
        <is>
          <t>pass</t>
        </is>
      </c>
      <c r="S254" t="inlineStr"/>
      <c r="T254" t="inlineStr"/>
      <c r="V254">
        <f>(I254-O254)^2+(J254-P254)^2+(K254-Q254)^2</f>
        <v/>
      </c>
      <c r="W254">
        <f>IF(B254&lt;&gt;"KO","",IF(R254="pick",IF(VLOOKUP(A254,'Match Universe'!A:K,11,FALSE)=S254,"hit","miss"),IF(R254="pass","n/a","n/a")))</f>
        <v/>
      </c>
      <c r="X254" t="inlineStr">
        <is>
          <t>BACKTEST wc 2022</t>
        </is>
      </c>
    </row>
    <row r="255">
      <c r="A255" t="inlineStr">
        <is>
          <t>wc22-fin-arg-fra-20221218</t>
        </is>
      </c>
      <c r="B255" t="inlineStr">
        <is>
          <t>T-5</t>
        </is>
      </c>
      <c r="C255" t="n">
        <v>2142</v>
      </c>
      <c r="D255" t="n">
        <v>2080</v>
      </c>
      <c r="E255" t="n">
        <v>0</v>
      </c>
      <c r="F255" t="n">
        <v>8</v>
      </c>
      <c r="G255" t="n">
        <v>1</v>
      </c>
      <c r="H255" t="n">
        <v>1</v>
      </c>
      <c r="I255" t="n">
        <v>0.433687</v>
      </c>
      <c r="J255" t="n">
        <v>0.2628</v>
      </c>
      <c r="K255" t="n">
        <v>0.303513</v>
      </c>
      <c r="L255" t="n">
        <v>0.299546</v>
      </c>
      <c r="M255" t="n">
        <v>0.309209</v>
      </c>
      <c r="N255" t="n">
        <v>0.391244</v>
      </c>
      <c r="O255" t="n">
        <v>0</v>
      </c>
      <c r="P255" t="n">
        <v>0</v>
      </c>
      <c r="Q255" t="n">
        <v>0</v>
      </c>
      <c r="R255" t="inlineStr">
        <is>
          <t>pass</t>
        </is>
      </c>
      <c r="S255" t="inlineStr"/>
      <c r="T255" t="inlineStr"/>
      <c r="V255">
        <f>(I255-O255)^2+(J255-P255)^2+(K255-Q255)^2</f>
        <v/>
      </c>
      <c r="W255">
        <f>IF(B255&lt;&gt;"KO","",IF(R255="pick",IF(VLOOKUP(A255,'Match Universe'!A:K,11,FALSE)=S255,"hit","miss"),IF(R255="pass","n/a","n/a")))</f>
        <v/>
      </c>
      <c r="X255" t="inlineStr">
        <is>
          <t>BACKTEST wc 2022</t>
        </is>
      </c>
    </row>
    <row r="256">
      <c r="A256" t="inlineStr">
        <is>
          <t>wc22-fin-arg-fra-20221218</t>
        </is>
      </c>
      <c r="B256" t="inlineStr">
        <is>
          <t>T-1h</t>
        </is>
      </c>
      <c r="C256" t="n">
        <v>2142</v>
      </c>
      <c r="D256" t="n">
        <v>2080</v>
      </c>
      <c r="E256" t="n">
        <v>0</v>
      </c>
      <c r="F256" t="n">
        <v>8</v>
      </c>
      <c r="G256" t="n">
        <v>1</v>
      </c>
      <c r="H256" t="n">
        <v>1</v>
      </c>
      <c r="I256" t="n">
        <v>0.433687</v>
      </c>
      <c r="J256" t="n">
        <v>0.2628</v>
      </c>
      <c r="K256" t="n">
        <v>0.303513</v>
      </c>
      <c r="L256" t="n">
        <v>0.299546</v>
      </c>
      <c r="M256" t="n">
        <v>0.309209</v>
      </c>
      <c r="N256" t="n">
        <v>0.391244</v>
      </c>
      <c r="O256" t="n">
        <v>0</v>
      </c>
      <c r="P256" t="n">
        <v>0</v>
      </c>
      <c r="Q256" t="n">
        <v>0</v>
      </c>
      <c r="R256" t="inlineStr">
        <is>
          <t>pass</t>
        </is>
      </c>
      <c r="S256" t="inlineStr"/>
      <c r="T256" t="inlineStr"/>
      <c r="V256">
        <f>(I256-O256)^2+(J256-P256)^2+(K256-Q256)^2</f>
        <v/>
      </c>
      <c r="W256">
        <f>IF(B256&lt;&gt;"KO","",IF(R256="pick",IF(VLOOKUP(A256,'Match Universe'!A:K,11,FALSE)=S256,"hit","miss"),IF(R256="pass","n/a","n/a")))</f>
        <v/>
      </c>
      <c r="X256" t="inlineStr">
        <is>
          <t>BACKTEST wc 2022</t>
        </is>
      </c>
    </row>
    <row r="257">
      <c r="A257" t="inlineStr">
        <is>
          <t>wc22-fin-arg-fra-20221218</t>
        </is>
      </c>
      <c r="B257" t="inlineStr">
        <is>
          <t>KO</t>
        </is>
      </c>
      <c r="C257" t="n">
        <v>2142</v>
      </c>
      <c r="D257" t="n">
        <v>2080</v>
      </c>
      <c r="E257" t="n">
        <v>0</v>
      </c>
      <c r="F257" t="n">
        <v>8</v>
      </c>
      <c r="G257" t="n">
        <v>1</v>
      </c>
      <c r="H257" t="n">
        <v>1</v>
      </c>
      <c r="I257" t="n">
        <v>0.433687</v>
      </c>
      <c r="J257" t="n">
        <v>0.2628</v>
      </c>
      <c r="K257" t="n">
        <v>0.303513</v>
      </c>
      <c r="L257" t="n">
        <v>0.299546</v>
      </c>
      <c r="M257" t="n">
        <v>0.309209</v>
      </c>
      <c r="N257" t="n">
        <v>0.391244</v>
      </c>
      <c r="O257" t="n">
        <v>0</v>
      </c>
      <c r="P257" t="n">
        <v>1</v>
      </c>
      <c r="Q257" t="n">
        <v>0</v>
      </c>
      <c r="R257" t="inlineStr">
        <is>
          <t>pass</t>
        </is>
      </c>
      <c r="S257" t="inlineStr"/>
      <c r="T257" t="inlineStr"/>
      <c r="V257">
        <f>(I257-O257)^2+(J257-P257)^2+(K257-Q257)^2</f>
        <v/>
      </c>
      <c r="W257">
        <f>IF(B257&lt;&gt;"KO","",IF(R257="pick",IF(VLOOKUP(A257,'Match Universe'!A:K,11,FALSE)=S257,"hit","miss"),IF(R257="pass","n/a","n/a")))</f>
        <v/>
      </c>
      <c r="X257" t="inlineStr">
        <is>
          <t>BACKTEST wc 2022</t>
        </is>
      </c>
    </row>
  </sheetData>
  <mergeCells count="1">
    <mergeCell ref="A26:X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34" min="1" max="1"/>
    <col width="10" customWidth="1" style="34" min="2" max="3"/>
    <col width="14" customWidth="1" style="34" min="4" max="5"/>
    <col width="16" customWidth="1" style="34" min="6" max="7"/>
    <col width="18" customWidth="1" style="34" min="8" max="8"/>
  </cols>
  <sheetData>
    <row r="1" ht="15" customHeight="1" s="35">
      <c r="A1" s="41" t="inlineStr">
        <is>
          <t>bin_label</t>
        </is>
      </c>
      <c r="B1" s="41" t="inlineStr">
        <is>
          <t>bin_low</t>
        </is>
      </c>
      <c r="C1" s="41" t="inlineStr">
        <is>
          <t>bin_high</t>
        </is>
      </c>
      <c r="D1" s="41" t="inlineStr">
        <is>
          <t>n_predictions</t>
        </is>
      </c>
      <c r="E1" s="41" t="inlineStr">
        <is>
          <t>sum_observed</t>
        </is>
      </c>
      <c r="F1" s="41" t="inlineStr">
        <is>
          <t>predicted_rate</t>
        </is>
      </c>
      <c r="G1" s="41" t="inlineStr">
        <is>
          <t>observed_rate</t>
        </is>
      </c>
      <c r="H1" s="41" t="inlineStr">
        <is>
          <t>calibration_error</t>
        </is>
      </c>
    </row>
    <row r="2" ht="15" customHeight="1" s="35">
      <c r="A2" s="42" t="inlineStr">
        <is>
          <t>0–10%</t>
        </is>
      </c>
      <c r="B2" s="43" t="n">
        <v>0</v>
      </c>
      <c r="C2" s="43" t="n">
        <v>0.1</v>
      </c>
      <c r="D2" s="44">
        <f>SUMPRODUCT((Snapshots!I2:I100&gt;=B2)*(Snapshots!I2:I100&lt;C2)*(Snapshots!B2:B100="KO"))+SUMPRODUCT((Snapshots!J2:J100&gt;=B2)*(Snapshots!J2:J100&lt;C2)*(Snapshots!B2:B100="KO"))+SUMPRODUCT((Snapshots!K2:K100&gt;=B2)*(Snapshots!K2:K100&lt;C2)*(Snapshots!B2:B100="KO"))</f>
        <v/>
      </c>
      <c r="E2" s="44">
        <f>SUMPRODUCT((Snapshots!I2:I100&gt;=B2)*(Snapshots!I2:I100&lt;C2)*(Snapshots!B2:B100="KO")*Snapshots!O2:O100)+SUMPRODUCT((Snapshots!J2:J100&gt;=B2)*(Snapshots!J2:J100&lt;C2)*(Snapshots!B2:B100="KO")*Snapshots!P2:P100)+SUMPRODUCT((Snapshots!K2:K100&gt;=B2)*(Snapshots!K2:K100&lt;C2)*(Snapshots!B2:B100="KO")*Snapshots!Q2:Q100)</f>
        <v/>
      </c>
      <c r="F2" s="45">
        <f>(B2+C2)/2</f>
        <v/>
      </c>
      <c r="G2" s="45">
        <f>IF(D2=0,"",E2/D2)</f>
        <v/>
      </c>
      <c r="H2" s="46">
        <f>IF(D2=0,"",F2-G2)</f>
        <v/>
      </c>
    </row>
    <row r="3" ht="15" customHeight="1" s="35">
      <c r="A3" s="42" t="inlineStr">
        <is>
          <t>10–20%</t>
        </is>
      </c>
      <c r="B3" s="43" t="n">
        <v>0.1</v>
      </c>
      <c r="C3" s="43" t="n">
        <v>0.2</v>
      </c>
      <c r="D3" s="44">
        <f>SUMPRODUCT((Snapshots!I2:I100&gt;=B3)*(Snapshots!I2:I100&lt;C3)*(Snapshots!B2:B100="KO"))+SUMPRODUCT((Snapshots!J2:J100&gt;=B3)*(Snapshots!J2:J100&lt;C3)*(Snapshots!B2:B100="KO"))+SUMPRODUCT((Snapshots!K2:K100&gt;=B3)*(Snapshots!K2:K100&lt;C3)*(Snapshots!B2:B100="KO"))</f>
        <v/>
      </c>
      <c r="E3" s="44">
        <f>SUMPRODUCT((Snapshots!I2:I100&gt;=B3)*(Snapshots!I2:I100&lt;C3)*(Snapshots!B2:B100="KO")*Snapshots!O2:O100)+SUMPRODUCT((Snapshots!J2:J100&gt;=B3)*(Snapshots!J2:J100&lt;C3)*(Snapshots!B2:B100="KO")*Snapshots!P2:P100)+SUMPRODUCT((Snapshots!K2:K100&gt;=B3)*(Snapshots!K2:K100&lt;C3)*(Snapshots!B2:B100="KO")*Snapshots!Q2:Q100)</f>
        <v/>
      </c>
      <c r="F3" s="45">
        <f>(B3+C3)/2</f>
        <v/>
      </c>
      <c r="G3" s="45">
        <f>IF(D3=0,"",E3/D3)</f>
        <v/>
      </c>
      <c r="H3" s="46">
        <f>IF(D3=0,"",F3-G3)</f>
        <v/>
      </c>
    </row>
    <row r="4" ht="15" customHeight="1" s="35">
      <c r="A4" s="42" t="inlineStr">
        <is>
          <t>20–30%</t>
        </is>
      </c>
      <c r="B4" s="43" t="n">
        <v>0.2</v>
      </c>
      <c r="C4" s="43" t="n">
        <v>0.3</v>
      </c>
      <c r="D4" s="44">
        <f>SUMPRODUCT((Snapshots!I2:I100&gt;=B4)*(Snapshots!I2:I100&lt;C4)*(Snapshots!B2:B100="KO"))+SUMPRODUCT((Snapshots!J2:J100&gt;=B4)*(Snapshots!J2:J100&lt;C4)*(Snapshots!B2:B100="KO"))+SUMPRODUCT((Snapshots!K2:K100&gt;=B4)*(Snapshots!K2:K100&lt;C4)*(Snapshots!B2:B100="KO"))</f>
        <v/>
      </c>
      <c r="E4" s="44">
        <f>SUMPRODUCT((Snapshots!I2:I100&gt;=B4)*(Snapshots!I2:I100&lt;C4)*(Snapshots!B2:B100="KO")*Snapshots!O2:O100)+SUMPRODUCT((Snapshots!J2:J100&gt;=B4)*(Snapshots!J2:J100&lt;C4)*(Snapshots!B2:B100="KO")*Snapshots!P2:P100)+SUMPRODUCT((Snapshots!K2:K100&gt;=B4)*(Snapshots!K2:K100&lt;C4)*(Snapshots!B2:B100="KO")*Snapshots!Q2:Q100)</f>
        <v/>
      </c>
      <c r="F4" s="45">
        <f>(B4+C4)/2</f>
        <v/>
      </c>
      <c r="G4" s="45">
        <f>IF(D4=0,"",E4/D4)</f>
        <v/>
      </c>
      <c r="H4" s="46">
        <f>IF(D4=0,"",F4-G4)</f>
        <v/>
      </c>
    </row>
    <row r="5" ht="15" customHeight="1" s="35">
      <c r="A5" s="42" t="inlineStr">
        <is>
          <t>30–40%</t>
        </is>
      </c>
      <c r="B5" s="43" t="n">
        <v>0.3</v>
      </c>
      <c r="C5" s="43" t="n">
        <v>0.4</v>
      </c>
      <c r="D5" s="44">
        <f>SUMPRODUCT((Snapshots!I2:I100&gt;=B5)*(Snapshots!I2:I100&lt;C5)*(Snapshots!B2:B100="KO"))+SUMPRODUCT((Snapshots!J2:J100&gt;=B5)*(Snapshots!J2:J100&lt;C5)*(Snapshots!B2:B100="KO"))+SUMPRODUCT((Snapshots!K2:K100&gt;=B5)*(Snapshots!K2:K100&lt;C5)*(Snapshots!B2:B100="KO"))</f>
        <v/>
      </c>
      <c r="E5" s="44">
        <f>SUMPRODUCT((Snapshots!I2:I100&gt;=B5)*(Snapshots!I2:I100&lt;C5)*(Snapshots!B2:B100="KO")*Snapshots!O2:O100)+SUMPRODUCT((Snapshots!J2:J100&gt;=B5)*(Snapshots!J2:J100&lt;C5)*(Snapshots!B2:B100="KO")*Snapshots!P2:P100)+SUMPRODUCT((Snapshots!K2:K100&gt;=B5)*(Snapshots!K2:K100&lt;C5)*(Snapshots!B2:B100="KO")*Snapshots!Q2:Q100)</f>
        <v/>
      </c>
      <c r="F5" s="45">
        <f>(B5+C5)/2</f>
        <v/>
      </c>
      <c r="G5" s="45">
        <f>IF(D5=0,"",E5/D5)</f>
        <v/>
      </c>
      <c r="H5" s="46">
        <f>IF(D5=0,"",F5-G5)</f>
        <v/>
      </c>
    </row>
    <row r="6" ht="15" customHeight="1" s="35">
      <c r="A6" s="42" t="inlineStr">
        <is>
          <t>40–50%</t>
        </is>
      </c>
      <c r="B6" s="43" t="n">
        <v>0.4</v>
      </c>
      <c r="C6" s="43" t="n">
        <v>0.5</v>
      </c>
      <c r="D6" s="44">
        <f>SUMPRODUCT((Snapshots!I2:I100&gt;=B6)*(Snapshots!I2:I100&lt;C6)*(Snapshots!B2:B100="KO"))+SUMPRODUCT((Snapshots!J2:J100&gt;=B6)*(Snapshots!J2:J100&lt;C6)*(Snapshots!B2:B100="KO"))+SUMPRODUCT((Snapshots!K2:K100&gt;=B6)*(Snapshots!K2:K100&lt;C6)*(Snapshots!B2:B100="KO"))</f>
        <v/>
      </c>
      <c r="E6" s="44">
        <f>SUMPRODUCT((Snapshots!I2:I100&gt;=B6)*(Snapshots!I2:I100&lt;C6)*(Snapshots!B2:B100="KO")*Snapshots!O2:O100)+SUMPRODUCT((Snapshots!J2:J100&gt;=B6)*(Snapshots!J2:J100&lt;C6)*(Snapshots!B2:B100="KO")*Snapshots!P2:P100)+SUMPRODUCT((Snapshots!K2:K100&gt;=B6)*(Snapshots!K2:K100&lt;C6)*(Snapshots!B2:B100="KO")*Snapshots!Q2:Q100)</f>
        <v/>
      </c>
      <c r="F6" s="45">
        <f>(B6+C6)/2</f>
        <v/>
      </c>
      <c r="G6" s="45">
        <f>IF(D6=0,"",E6/D6)</f>
        <v/>
      </c>
      <c r="H6" s="46">
        <f>IF(D6=0,"",F6-G6)</f>
        <v/>
      </c>
    </row>
    <row r="7" ht="15" customHeight="1" s="35">
      <c r="A7" s="42" t="inlineStr">
        <is>
          <t>50–60%</t>
        </is>
      </c>
      <c r="B7" s="43" t="n">
        <v>0.5</v>
      </c>
      <c r="C7" s="43" t="n">
        <v>0.6</v>
      </c>
      <c r="D7" s="44">
        <f>SUMPRODUCT((Snapshots!I2:I100&gt;=B7)*(Snapshots!I2:I100&lt;C7)*(Snapshots!B2:B100="KO"))+SUMPRODUCT((Snapshots!J2:J100&gt;=B7)*(Snapshots!J2:J100&lt;C7)*(Snapshots!B2:B100="KO"))+SUMPRODUCT((Snapshots!K2:K100&gt;=B7)*(Snapshots!K2:K100&lt;C7)*(Snapshots!B2:B100="KO"))</f>
        <v/>
      </c>
      <c r="E7" s="44">
        <f>SUMPRODUCT((Snapshots!I2:I100&gt;=B7)*(Snapshots!I2:I100&lt;C7)*(Snapshots!B2:B100="KO")*Snapshots!O2:O100)+SUMPRODUCT((Snapshots!J2:J100&gt;=B7)*(Snapshots!J2:J100&lt;C7)*(Snapshots!B2:B100="KO")*Snapshots!P2:P100)+SUMPRODUCT((Snapshots!K2:K100&gt;=B7)*(Snapshots!K2:K100&lt;C7)*(Snapshots!B2:B100="KO")*Snapshots!Q2:Q100)</f>
        <v/>
      </c>
      <c r="F7" s="45">
        <f>(B7+C7)/2</f>
        <v/>
      </c>
      <c r="G7" s="45">
        <f>IF(D7=0,"",E7/D7)</f>
        <v/>
      </c>
      <c r="H7" s="46">
        <f>IF(D7=0,"",F7-G7)</f>
        <v/>
      </c>
    </row>
    <row r="8" ht="15" customHeight="1" s="35">
      <c r="A8" s="42" t="inlineStr">
        <is>
          <t>60–70%</t>
        </is>
      </c>
      <c r="B8" s="43" t="n">
        <v>0.6</v>
      </c>
      <c r="C8" s="43" t="n">
        <v>0.7</v>
      </c>
      <c r="D8" s="44">
        <f>SUMPRODUCT((Snapshots!I2:I100&gt;=B8)*(Snapshots!I2:I100&lt;C8)*(Snapshots!B2:B100="KO"))+SUMPRODUCT((Snapshots!J2:J100&gt;=B8)*(Snapshots!J2:J100&lt;C8)*(Snapshots!B2:B100="KO"))+SUMPRODUCT((Snapshots!K2:K100&gt;=B8)*(Snapshots!K2:K100&lt;C8)*(Snapshots!B2:B100="KO"))</f>
        <v/>
      </c>
      <c r="E8" s="44">
        <f>SUMPRODUCT((Snapshots!I2:I100&gt;=B8)*(Snapshots!I2:I100&lt;C8)*(Snapshots!B2:B100="KO")*Snapshots!O2:O100)+SUMPRODUCT((Snapshots!J2:J100&gt;=B8)*(Snapshots!J2:J100&lt;C8)*(Snapshots!B2:B100="KO")*Snapshots!P2:P100)+SUMPRODUCT((Snapshots!K2:K100&gt;=B8)*(Snapshots!K2:K100&lt;C8)*(Snapshots!B2:B100="KO")*Snapshots!Q2:Q100)</f>
        <v/>
      </c>
      <c r="F8" s="45">
        <f>(B8+C8)/2</f>
        <v/>
      </c>
      <c r="G8" s="45">
        <f>IF(D8=0,"",E8/D8)</f>
        <v/>
      </c>
      <c r="H8" s="46">
        <f>IF(D8=0,"",F8-G8)</f>
        <v/>
      </c>
    </row>
    <row r="9" ht="15" customHeight="1" s="35">
      <c r="A9" s="42" t="inlineStr">
        <is>
          <t>70–80%</t>
        </is>
      </c>
      <c r="B9" s="43" t="n">
        <v>0.7</v>
      </c>
      <c r="C9" s="43" t="n">
        <v>0.8</v>
      </c>
      <c r="D9" s="44">
        <f>SUMPRODUCT((Snapshots!I2:I100&gt;=B9)*(Snapshots!I2:I100&lt;C9)*(Snapshots!B2:B100="KO"))+SUMPRODUCT((Snapshots!J2:J100&gt;=B9)*(Snapshots!J2:J100&lt;C9)*(Snapshots!B2:B100="KO"))+SUMPRODUCT((Snapshots!K2:K100&gt;=B9)*(Snapshots!K2:K100&lt;C9)*(Snapshots!B2:B100="KO"))</f>
        <v/>
      </c>
      <c r="E9" s="44">
        <f>SUMPRODUCT((Snapshots!I2:I100&gt;=B9)*(Snapshots!I2:I100&lt;C9)*(Snapshots!B2:B100="KO")*Snapshots!O2:O100)+SUMPRODUCT((Snapshots!J2:J100&gt;=B9)*(Snapshots!J2:J100&lt;C9)*(Snapshots!B2:B100="KO")*Snapshots!P2:P100)+SUMPRODUCT((Snapshots!K2:K100&gt;=B9)*(Snapshots!K2:K100&lt;C9)*(Snapshots!B2:B100="KO")*Snapshots!Q2:Q100)</f>
        <v/>
      </c>
      <c r="F9" s="45">
        <f>(B9+C9)/2</f>
        <v/>
      </c>
      <c r="G9" s="45">
        <f>IF(D9=0,"",E9/D9)</f>
        <v/>
      </c>
      <c r="H9" s="46">
        <f>IF(D9=0,"",F9-G9)</f>
        <v/>
      </c>
    </row>
    <row r="10" ht="15" customHeight="1" s="35">
      <c r="A10" s="42" t="inlineStr">
        <is>
          <t>80–90%</t>
        </is>
      </c>
      <c r="B10" s="43" t="n">
        <v>0.8</v>
      </c>
      <c r="C10" s="43" t="n">
        <v>0.9</v>
      </c>
      <c r="D10" s="44">
        <f>SUMPRODUCT((Snapshots!I2:I100&gt;=B10)*(Snapshots!I2:I100&lt;C10)*(Snapshots!B2:B100="KO"))+SUMPRODUCT((Snapshots!J2:J100&gt;=B10)*(Snapshots!J2:J100&lt;C10)*(Snapshots!B2:B100="KO"))+SUMPRODUCT((Snapshots!K2:K100&gt;=B10)*(Snapshots!K2:K100&lt;C10)*(Snapshots!B2:B100="KO"))</f>
        <v/>
      </c>
      <c r="E10" s="44">
        <f>SUMPRODUCT((Snapshots!I2:I100&gt;=B10)*(Snapshots!I2:I100&lt;C10)*(Snapshots!B2:B100="KO")*Snapshots!O2:O100)+SUMPRODUCT((Snapshots!J2:J100&gt;=B10)*(Snapshots!J2:J100&lt;C10)*(Snapshots!B2:B100="KO")*Snapshots!P2:P100)+SUMPRODUCT((Snapshots!K2:K100&gt;=B10)*(Snapshots!K2:K100&lt;C10)*(Snapshots!B2:B100="KO")*Snapshots!Q2:Q100)</f>
        <v/>
      </c>
      <c r="F10" s="45">
        <f>(B10+C10)/2</f>
        <v/>
      </c>
      <c r="G10" s="45">
        <f>IF(D10=0,"",E10/D10)</f>
        <v/>
      </c>
      <c r="H10" s="46">
        <f>IF(D10=0,"",F10-G10)</f>
        <v/>
      </c>
    </row>
    <row r="11" ht="15" customHeight="1" s="35">
      <c r="A11" s="42" t="inlineStr">
        <is>
          <t>90–100%</t>
        </is>
      </c>
      <c r="B11" s="43" t="n">
        <v>0.9</v>
      </c>
      <c r="C11" s="43" t="n">
        <v>1</v>
      </c>
      <c r="D11" s="44">
        <f>SUMPRODUCT((Snapshots!I2:I100&gt;=B11)*(Snapshots!I2:I100&lt;C11)*(Snapshots!B2:B100="KO"))+SUMPRODUCT((Snapshots!J2:J100&gt;=B11)*(Snapshots!J2:J100&lt;C11)*(Snapshots!B2:B100="KO"))+SUMPRODUCT((Snapshots!K2:K100&gt;=B11)*(Snapshots!K2:K100&lt;C11)*(Snapshots!B2:B100="KO"))</f>
        <v/>
      </c>
      <c r="E11" s="44">
        <f>SUMPRODUCT((Snapshots!I2:I100&gt;=B11)*(Snapshots!I2:I100&lt;C11)*(Snapshots!B2:B100="KO")*Snapshots!O2:O100)+SUMPRODUCT((Snapshots!J2:J100&gt;=B11)*(Snapshots!J2:J100&lt;C11)*(Snapshots!B2:B100="KO")*Snapshots!P2:P100)+SUMPRODUCT((Snapshots!K2:K100&gt;=B11)*(Snapshots!K2:K100&lt;C11)*(Snapshots!B2:B100="KO")*Snapshots!Q2:Q100)</f>
        <v/>
      </c>
      <c r="F11" s="45">
        <f>(B11+C11)/2</f>
        <v/>
      </c>
      <c r="G11" s="45">
        <f>IF(D11=0,"",E11/D11)</f>
        <v/>
      </c>
      <c r="H11" s="46">
        <f>IF(D11=0,"",F11-G11)</f>
        <v/>
      </c>
    </row>
    <row r="13" ht="39.75" customHeight="1" s="35">
      <c r="A13" s="47" t="inlineStr">
        <is>
          <t>Reliability bins: each (probability, outcome) pair from a KO snapshot contributes one data point. Each snapshot supplies three pairs (team_a, draw, team_b). A perfectly calibrated model has observed_rate ≈ predicted_rate in every bin (calibration_error ≈ 0).</t>
        </is>
      </c>
    </row>
  </sheetData>
  <mergeCells count="1">
    <mergeCell ref="A13:H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2" customWidth="1" style="34" min="1" max="1"/>
    <col width="16" customWidth="1" style="34" min="2" max="2"/>
    <col width="50" customWidth="1" style="34" min="3" max="3"/>
  </cols>
  <sheetData>
    <row r="1" ht="15" customHeight="1" s="35">
      <c r="A1" s="48" t="inlineStr">
        <is>
          <t>DESK BACKTEST — METRICS SUMMARY</t>
        </is>
      </c>
    </row>
    <row r="3" ht="15" customHeight="1" s="35">
      <c r="A3" s="49" t="inlineStr">
        <is>
          <t>Headline numbers (KO snapshots only)</t>
        </is>
      </c>
    </row>
    <row r="4" ht="15" customHeight="1" s="35">
      <c r="A4" s="50" t="inlineStr">
        <is>
          <t>Total KO snapshots in scope</t>
        </is>
      </c>
      <c r="B4" s="44">
        <f>SUMPRODUCT((Snapshots!B2:B100="KO")*1)</f>
        <v/>
      </c>
    </row>
    <row r="5" ht="15" customHeight="1" s="35">
      <c r="A5" s="50" t="inlineStr">
        <is>
          <t>Mean Brier score (model)</t>
        </is>
      </c>
      <c r="B5" s="51">
        <f>AVERAGEIFS(Snapshots!V2:V100,Snapshots!B2:B100,"KO")</f>
        <v/>
      </c>
    </row>
    <row r="7" ht="15" customHeight="1" s="35">
      <c r="A7" s="49" t="inlineStr">
        <is>
          <t>Verdict mix (KO snapshots only)</t>
        </is>
      </c>
    </row>
    <row r="8" ht="15" customHeight="1" s="35">
      <c r="A8" s="50" t="inlineStr">
        <is>
          <t>Picks issued</t>
        </is>
      </c>
      <c r="B8" s="44">
        <f>COUNTIFS(Snapshots!R2:R100,"pick",Snapshots!B2:B100,"KO")</f>
        <v/>
      </c>
    </row>
    <row r="9" ht="15" customHeight="1" s="35">
      <c r="A9" s="50" t="inlineStr">
        <is>
          <t>Passes issued</t>
        </is>
      </c>
      <c r="B9" s="44">
        <f>COUNTIFS(Snapshots!R2:R100,"pass",Snapshots!B2:B100,"KO")</f>
        <v/>
      </c>
    </row>
    <row r="10" ht="15" customHeight="1" s="35">
      <c r="A10" s="50" t="inlineStr">
        <is>
          <t>Avoids issued</t>
        </is>
      </c>
      <c r="B10" s="44">
        <f>COUNTIFS(Snapshots!R2:R100,"avoid",Snapshots!B2:B100,"KO")</f>
        <v/>
      </c>
    </row>
    <row r="12" ht="15" customHeight="1" s="35">
      <c r="A12" s="49" t="inlineStr">
        <is>
          <t>Edge analysis (Pick verdicts only)</t>
        </is>
      </c>
    </row>
    <row r="13" ht="15" customHeight="1" s="35">
      <c r="A13" s="50" t="inlineStr">
        <is>
          <t>Mean edge_pp on Picks</t>
        </is>
      </c>
      <c r="B13" s="52">
        <f>AVERAGEIFS(Snapshots!U2:U100,Snapshots!R2:R100,"pick",Snapshots!B2:B100,"KO")</f>
        <v/>
      </c>
    </row>
    <row r="14" ht="15" customHeight="1" s="35">
      <c r="A14" s="50" t="inlineStr">
        <is>
          <t>Largest single edge_pp</t>
        </is>
      </c>
      <c r="B14" s="52">
        <f>IFERROR(aggregate(14,6,Snapshots!U2:U100/((Snapshots!R2:R100="pick")*(Snapshots!B2:B100="KO")),1),"")</f>
        <v/>
      </c>
    </row>
    <row r="16" ht="15" customHeight="1" s="35">
      <c r="A16" s="49" t="inlineStr">
        <is>
          <t>Pick resolution (manual review required)</t>
        </is>
      </c>
    </row>
    <row r="17" ht="15" customHeight="1" s="35">
      <c r="A17" s="50" t="inlineStr">
        <is>
          <t>Picks marked 'manual' for review</t>
        </is>
      </c>
      <c r="B17" s="44">
        <f>COUNTIFS(Snapshots!W2:W100,"manual")</f>
        <v/>
      </c>
    </row>
    <row r="18" ht="15" customHeight="1" s="35">
      <c r="A18" s="50" t="inlineStr">
        <is>
          <t>Picks resolved as hits</t>
        </is>
      </c>
      <c r="B18" s="44">
        <f>COUNTIFS(Snapshots!W2:W100,"hit")</f>
        <v/>
      </c>
    </row>
    <row r="19" ht="15" customHeight="1" s="35">
      <c r="A19" s="50" t="inlineStr">
        <is>
          <t>Picks resolved as misses</t>
        </is>
      </c>
      <c r="B19" s="44">
        <f>COUNTIFS(Snapshots!W2:W100,"miss")</f>
        <v/>
      </c>
    </row>
    <row r="20" ht="15" customHeight="1" s="35">
      <c r="A20" s="50" t="inlineStr">
        <is>
          <t>Pick hit rate (sanity check, not headline)</t>
        </is>
      </c>
      <c r="B20" s="45">
        <f>IF(COUNTIFS(Snapshots!W2:W100,"hit")+COUNTIFS(Snapshots!W2:W100,"miss")=0,"",COUNTIFS(Snapshots!W2:W100,"hit")/(COUNTIFS(Snapshots!W2:W100,"hit")+COUNTIFS(Snapshots!W2:W100,"miss")))</f>
        <v/>
      </c>
    </row>
    <row r="22" ht="15" customHeight="1" s="35">
      <c r="A22" s="49" t="inlineStr">
        <is>
          <t>Calibration headline</t>
        </is>
      </c>
    </row>
    <row r="23" ht="15" customHeight="1" s="35">
      <c r="A23" s="50" t="inlineStr">
        <is>
          <t>Mean absolute calibration error</t>
        </is>
      </c>
      <c r="B23" s="45">
        <f>IFERROR(AVERAGEIFS(Calibration!H2:H11,Calibration!D2:D11,"&gt;0"),"")</f>
        <v/>
      </c>
    </row>
    <row r="25" ht="15" customHeight="1" s="35">
      <c r="A25" s="49" t="inlineStr">
        <is>
          <t>Closing-market baseline (to compute when populated)</t>
        </is>
      </c>
    </row>
    <row r="26" ht="34.5" customHeight="1" s="35">
      <c r="A26" s="53" t="inlineStr">
        <is>
          <t>Mean Brier score (market)</t>
        </is>
      </c>
      <c r="C26" s="47" t="inlineStr">
        <is>
          <t>Compute as AVERAGEIFS over (market_p_a-actual_a)^2+... once market columns are filled. The Desk wins if model.brier &lt; market.brier.</t>
        </is>
      </c>
    </row>
    <row r="28" ht="49.5" customHeight="1" s="35">
      <c r="A28" s="47" t="inlineStr">
        <is>
          <t>Headline read order: 1) calibration error (lower = more honest), 2) Brier vs market baseline (lower = better), 3) edge magnitude on Picks (sanity), 4) Pick hit rate (sanity only — never the headline number).</t>
        </is>
      </c>
    </row>
  </sheetData>
  <mergeCells count="8">
    <mergeCell ref="A28:C28"/>
    <mergeCell ref="A25:C25"/>
    <mergeCell ref="A1:C1"/>
    <mergeCell ref="A22:C22"/>
    <mergeCell ref="A3:C3"/>
    <mergeCell ref="A12:C12"/>
    <mergeCell ref="A7:C7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34" min="1" max="1"/>
    <col width="50" customWidth="1" style="34" min="2" max="2"/>
    <col width="70" customWidth="1" style="34" min="3" max="3"/>
    <col width="14" customWidth="1" style="34" min="4" max="4"/>
  </cols>
  <sheetData>
    <row r="1" ht="15" customHeight="1" s="35">
      <c r="A1" s="41" t="inlineStr">
        <is>
          <t>#</t>
        </is>
      </c>
      <c r="B1" s="41" t="inlineStr">
        <is>
          <t>Question</t>
        </is>
      </c>
      <c r="C1" s="41" t="inlineStr">
        <is>
          <t>Why it matters</t>
        </is>
      </c>
      <c r="D1" s="41" t="inlineStr">
        <is>
          <t>Status</t>
        </is>
      </c>
    </row>
    <row r="2" ht="60" customHeight="1" s="35">
      <c r="A2" s="54" t="n">
        <v>1</v>
      </c>
      <c r="B2" s="54" t="inlineStr">
        <is>
          <t>Source of historical Elo at each time window</t>
        </is>
      </c>
      <c r="C2" s="55" t="inlineStr">
        <is>
          <t>eloratings.net is JS-rendered (rejected for live use). Wikipedia data module has historical snapshots — confirm coverage at T-38d back to 2022.
→ DECISION: Wikipedia data module — confirmed source for historical Elo at all time windows.</t>
        </is>
      </c>
      <c r="D2" s="56" t="inlineStr">
        <is>
          <t>LOCKED</t>
        </is>
      </c>
    </row>
    <row r="3" ht="60" customHeight="1" s="35">
      <c r="A3" s="54" t="n">
        <v>2</v>
      </c>
      <c r="B3" s="54" t="inlineStr">
        <is>
          <t>Closing-market baseline source</t>
        </is>
      </c>
      <c r="C3" s="55" t="inlineStr">
        <is>
          <t>Kalshi/Polymarket weren't liquid for WC 2022. Use Pinnacle / Betfair Exchange archives as the baseline. Pinnacle is the gold standard.
→ DECISION: Pinnacle archives + Betfair Exchange where Pinnacle missing — gold-standard closing-line baseline.</t>
        </is>
      </c>
      <c r="D3" s="56" t="inlineStr">
        <is>
          <t>LOCKED</t>
        </is>
      </c>
    </row>
    <row r="4" ht="60" customHeight="1" s="35">
      <c r="A4" s="54" t="n">
        <v>3</v>
      </c>
      <c r="B4" s="54" t="inlineStr">
        <is>
          <t>Injury / availability reconstruction</t>
        </is>
      </c>
      <c r="C4" s="55" t="inlineStr">
        <is>
          <t>Hardest piece. Either (a) skip late-binding adjustments in the backtest (T-1h = same as T-3d), (b) hand-code injuries for 5-10 marquee matches, (c) scrape archive.org for ESPN/BBC team news pages by date.
→ DECISION: Option C: scrape archive.org snapshots of ESPN/BBC team-news pages by date. Hand-code marquee matches as fallback.</t>
        </is>
      </c>
      <c r="D4" s="56" t="inlineStr">
        <is>
          <t>LOCKED</t>
        </is>
      </c>
    </row>
    <row r="5" ht="60" customHeight="1" s="35">
      <c r="A5" s="54" t="n">
        <v>4</v>
      </c>
      <c r="B5" s="54" t="inlineStr">
        <is>
          <t>Verdict resolution rules at KO</t>
        </is>
      </c>
      <c r="C5" s="55" t="inlineStr">
        <is>
          <t>Pick = correct if verdict.side actually won in 90 min. Pass / Avoid = unresolved by definition (no action). Confirm.
→ DECISION: Confirmed: Pick = correct iff verdict.side actually won in 90 min. Pass / Avoid = unresolved (no action taken).</t>
        </is>
      </c>
      <c r="D5" s="56" t="inlineStr">
        <is>
          <t>LOCKED</t>
        </is>
      </c>
    </row>
    <row r="6" ht="60" customHeight="1" s="35">
      <c r="A6" s="54" t="n">
        <v>5</v>
      </c>
      <c r="B6" s="54" t="inlineStr">
        <is>
          <t>Pick threshold (edge_pp) for the backtest</t>
        </is>
      </c>
      <c r="C6" s="55" t="inlineStr">
        <is>
          <t>v1 design says ~1pp = Pass, but the live Pick threshold isn't yet locked. The backtest will be sensitive to this — run sweeps at 2/3/5pp.
→ DECISION: Pick threshold = 3pp default; sensitivity sweep at 2pp and 5pp. Below 2pp is noise; 3pp filters marginal edges.</t>
        </is>
      </c>
      <c r="D6" s="56" t="inlineStr">
        <is>
          <t>LOCKED</t>
        </is>
      </c>
    </row>
    <row r="7" ht="60" customHeight="1" s="35">
      <c r="A7" s="54" t="n">
        <v>6</v>
      </c>
      <c r="B7" s="54" t="inlineStr">
        <is>
          <t>Calibration binning strategy</t>
        </is>
      </c>
      <c r="C7" s="55" t="inlineStr">
        <is>
          <t>Current scaffold uses 10% bins. Consider isotonic-regression smoothing for the diagram. With ~150 matches × 3 outcomes = ~450 data points, 10 bins is appropriate.
→ DECISION: 10% bins (0–10%, 10–20%, …, 90–100%). With 441 data points, ~44 per bin. Isotonic smoothing is v2.</t>
        </is>
      </c>
      <c r="D7" s="56" t="inlineStr">
        <is>
          <t>LOCKED</t>
        </is>
      </c>
    </row>
    <row r="8" ht="60" customHeight="1" s="35">
      <c r="A8" s="54" t="n">
        <v>7</v>
      </c>
      <c r="B8" s="54" t="inlineStr">
        <is>
          <t>Penalty-shootout handling</t>
        </is>
      </c>
      <c r="C8" s="55" t="inlineStr">
        <is>
          <t>Argentina-France 2022 went to pens. The 1X2 model is 90-min only. Confirm this convention is honest — and that we're not silently scoring penalty wins as 90-min wins.
→ DECISION: 90-minute outcomes only. Penalty-shootout winners do NOT count as 90-min winners. Already-decided.</t>
        </is>
      </c>
      <c r="D8" s="56" t="inlineStr">
        <is>
          <t>LOCKED</t>
        </is>
      </c>
    </row>
    <row r="9" ht="60" customHeight="1" s="35">
      <c r="A9" s="54" t="n">
        <v>8</v>
      </c>
      <c r="B9" s="54" t="inlineStr">
        <is>
          <t>Tournament-specific Elo rebase</t>
        </is>
      </c>
      <c r="C9" s="55" t="inlineStr">
        <is>
          <t>International Elo doesn't carry over cleanly between tournaments. Decide whether to use pre-tournament snapshots only or rolling Elo.
→ DECISION: Pre-tournament Elo snapshot only. Freeze each team's Elo the day before the tournament; don't update during. Rolling Elo is v2.</t>
        </is>
      </c>
      <c r="D9" s="56" t="inlineStr">
        <is>
          <t>LOCKED</t>
        </is>
      </c>
    </row>
    <row r="10" ht="60" customHeight="1" s="35">
      <c r="A10" s="54" t="n">
        <v>9</v>
      </c>
      <c r="B10" s="54" t="inlineStr">
        <is>
          <t>Backtest deliverable format</t>
        </is>
      </c>
      <c r="C10" s="55" t="inlineStr">
        <is>
          <t>Output target: a /track-record page with reliability diagram + selected commentary. Decide whether to publish raw match-by-match table or a curated narrative + summary stats.
→ DECISION: HTML dashboard at desk_backtest_dashboard.html. Embeds reliability diagram + KPIs + match table. Foundation for /track-record page.</t>
        </is>
      </c>
      <c r="D10" s="56" t="inlineStr">
        <is>
          <t>LOCKED</t>
        </is>
      </c>
    </row>
    <row r="12" ht="30" customHeight="1" s="35">
      <c r="A12" s="57" t="inlineStr">
        <is>
          <t>All open questions resolved 2026-05-08. Workbook is ready to populate with real data once Wikipedia Elo / Pinnacle archive / archive.org news pipeline is in place.</t>
        </is>
      </c>
    </row>
  </sheetData>
  <mergeCells count="1">
    <mergeCell ref="A12:D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2026-05-09T17:06:19Z</dcterms:created>
  <dcterms:modified xsi:type="dcterms:W3CDTF">2026-05-09T19:47:14Z</dcterms:modified>
  <cp:revision>0</cp:revision>
</cp:coreProperties>
</file>